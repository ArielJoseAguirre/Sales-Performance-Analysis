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68d57c1a9919992/Desktop/Portfolio_Analista_Datos/Sales_Performance_Analysis/"/>
    </mc:Choice>
  </mc:AlternateContent>
  <xr:revisionPtr revIDLastSave="2" documentId="8_{EA9566CB-DFD5-4863-971A-C0891B7C26A7}" xr6:coauthVersionLast="47" xr6:coauthVersionMax="47" xr10:uidLastSave="{425AD7F3-40FE-414A-BF7F-C5C468E9F89F}"/>
  <bookViews>
    <workbookView xWindow="-120" yWindow="-120" windowWidth="29040" windowHeight="15720" tabRatio="683" activeTab="6" xr2:uid="{00000000-000D-0000-FFFF-FFFF00000000}"/>
  </bookViews>
  <sheets>
    <sheet name="Ventas" sheetId="1" r:id="rId1"/>
    <sheet name="Ventas-Mes" sheetId="6" r:id="rId2"/>
    <sheet name="Hoja1" sheetId="8" r:id="rId3"/>
    <sheet name="Ventas-Totales" sheetId="4" r:id="rId4"/>
    <sheet name="Margen-Bruto" sheetId="5" r:id="rId5"/>
    <sheet name="Indicadores" sheetId="2" r:id="rId6"/>
    <sheet name="Dashboard" sheetId="9" r:id="rId7"/>
  </sheets>
  <definedNames>
    <definedName name="_xlnm._FilterDatabase" localSheetId="0" hidden="1">Ventas!$A$1:$I$501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9" l="1"/>
  <c r="F6" i="9"/>
  <c r="D6" i="9"/>
  <c r="B6" i="9"/>
  <c r="B6" i="2"/>
  <c r="B5" i="2"/>
  <c r="B4" i="2"/>
  <c r="B3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3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</calcChain>
</file>

<file path=xl/sharedStrings.xml><?xml version="1.0" encoding="utf-8"?>
<sst xmlns="http://schemas.openxmlformats.org/spreadsheetml/2006/main" count="2569" uniqueCount="567">
  <si>
    <t>ID_Venta</t>
  </si>
  <si>
    <t>Fecha</t>
  </si>
  <si>
    <t>Producto</t>
  </si>
  <si>
    <t>Categoría</t>
  </si>
  <si>
    <t>Cantidad</t>
  </si>
  <si>
    <t>Precio_Unitario</t>
  </si>
  <si>
    <t>Costo_Unitario</t>
  </si>
  <si>
    <t>Vendedor</t>
  </si>
  <si>
    <t>Región</t>
  </si>
  <si>
    <t>V0487</t>
  </si>
  <si>
    <t>Mouse</t>
  </si>
  <si>
    <t>Accesorios</t>
  </si>
  <si>
    <t>Lucía Gómez</t>
  </si>
  <si>
    <t>Buenos Aires</t>
  </si>
  <si>
    <t>V0408</t>
  </si>
  <si>
    <t>Tablet</t>
  </si>
  <si>
    <t>Tecnología</t>
  </si>
  <si>
    <t>Sofía Díaz</t>
  </si>
  <si>
    <t>V0481</t>
  </si>
  <si>
    <t>Valentina López</t>
  </si>
  <si>
    <t>V0293</t>
  </si>
  <si>
    <t>Webcam</t>
  </si>
  <si>
    <t>Tomás Ruiz</t>
  </si>
  <si>
    <t>V0236</t>
  </si>
  <si>
    <t>Auriculares</t>
  </si>
  <si>
    <t>Mateo Pérez</t>
  </si>
  <si>
    <t>Patagonia</t>
  </si>
  <si>
    <t>V0189</t>
  </si>
  <si>
    <t>V0278</t>
  </si>
  <si>
    <t>V0070</t>
  </si>
  <si>
    <t>Centro</t>
  </si>
  <si>
    <t>V0174</t>
  </si>
  <si>
    <t>V0120</t>
  </si>
  <si>
    <t>Silla ergonómica</t>
  </si>
  <si>
    <t>Muebles</t>
  </si>
  <si>
    <t>V0038</t>
  </si>
  <si>
    <t>V0365</t>
  </si>
  <si>
    <t>Escritorio</t>
  </si>
  <si>
    <t>V0166</t>
  </si>
  <si>
    <t>Teclado</t>
  </si>
  <si>
    <t>V0179</t>
  </si>
  <si>
    <t>V0398</t>
  </si>
  <si>
    <t>V0492</t>
  </si>
  <si>
    <t>V0299</t>
  </si>
  <si>
    <t>V0445</t>
  </si>
  <si>
    <t>V0265</t>
  </si>
  <si>
    <t>V0239</t>
  </si>
  <si>
    <t>Notebook</t>
  </si>
  <si>
    <t>V0451</t>
  </si>
  <si>
    <t>V0019</t>
  </si>
  <si>
    <t>V0098</t>
  </si>
  <si>
    <t>V0109</t>
  </si>
  <si>
    <t>V0269</t>
  </si>
  <si>
    <t>V0285</t>
  </si>
  <si>
    <t>V0462</t>
  </si>
  <si>
    <t>Monitor</t>
  </si>
  <si>
    <t>V0463</t>
  </si>
  <si>
    <t>V0452</t>
  </si>
  <si>
    <t>V0021</t>
  </si>
  <si>
    <t>V0266</t>
  </si>
  <si>
    <t>V0026</t>
  </si>
  <si>
    <t>V0135</t>
  </si>
  <si>
    <t>V0350</t>
  </si>
  <si>
    <t>V0469</t>
  </si>
  <si>
    <t>Noroeste</t>
  </si>
  <si>
    <t>V0410</t>
  </si>
  <si>
    <t>Lámpara de escritorio</t>
  </si>
  <si>
    <t>V0455</t>
  </si>
  <si>
    <t>V0361</t>
  </si>
  <si>
    <t>V0035</t>
  </si>
  <si>
    <t>V0022</t>
  </si>
  <si>
    <t>V0214</t>
  </si>
  <si>
    <t>Cuyo</t>
  </si>
  <si>
    <t>V0055</t>
  </si>
  <si>
    <t>V0252</t>
  </si>
  <si>
    <t>V0027</t>
  </si>
  <si>
    <t>V0095</t>
  </si>
  <si>
    <t>V0255</t>
  </si>
  <si>
    <t>V0327</t>
  </si>
  <si>
    <t>V0360</t>
  </si>
  <si>
    <t>V0121</t>
  </si>
  <si>
    <t>V0358</t>
  </si>
  <si>
    <t>V0449</t>
  </si>
  <si>
    <t>V0288</t>
  </si>
  <si>
    <t>V0435</t>
  </si>
  <si>
    <t>V0165</t>
  </si>
  <si>
    <t>V0226</t>
  </si>
  <si>
    <t>V0271</t>
  </si>
  <si>
    <t>V0483</t>
  </si>
  <si>
    <t>V0465</t>
  </si>
  <si>
    <t>V0488</t>
  </si>
  <si>
    <t>V0215</t>
  </si>
  <si>
    <t>V0320</t>
  </si>
  <si>
    <t>V0020</t>
  </si>
  <si>
    <t>V0156</t>
  </si>
  <si>
    <t>V0342</t>
  </si>
  <si>
    <t>V0050</t>
  </si>
  <si>
    <t>V0237</t>
  </si>
  <si>
    <t>V0005</t>
  </si>
  <si>
    <t>V0357</t>
  </si>
  <si>
    <t>V0341</t>
  </si>
  <si>
    <t>V0444</t>
  </si>
  <si>
    <t>V0089</t>
  </si>
  <si>
    <t>V0186</t>
  </si>
  <si>
    <t>V0063</t>
  </si>
  <si>
    <t>V0103</t>
  </si>
  <si>
    <t>V0480</t>
  </si>
  <si>
    <t>V0228</t>
  </si>
  <si>
    <t>V0046</t>
  </si>
  <si>
    <t>V0405</t>
  </si>
  <si>
    <t>V0076</t>
  </si>
  <si>
    <t>V0486</t>
  </si>
  <si>
    <t>V0078</t>
  </si>
  <si>
    <t>V0192</t>
  </si>
  <si>
    <t>V0432</t>
  </si>
  <si>
    <t>V0032</t>
  </si>
  <si>
    <t>V0404</t>
  </si>
  <si>
    <t>V0173</t>
  </si>
  <si>
    <t>V0105</t>
  </si>
  <si>
    <t>V0431</t>
  </si>
  <si>
    <t>V0325</t>
  </si>
  <si>
    <t>V0344</t>
  </si>
  <si>
    <t>V0177</t>
  </si>
  <si>
    <t>V0112</t>
  </si>
  <si>
    <t>V0114</t>
  </si>
  <si>
    <t>V0363</t>
  </si>
  <si>
    <t>V0085</t>
  </si>
  <si>
    <t>V0473</t>
  </si>
  <si>
    <t>V0072</t>
  </si>
  <si>
    <t>V0394</t>
  </si>
  <si>
    <t>V0354</t>
  </si>
  <si>
    <t>V0256</t>
  </si>
  <si>
    <t>V0111</t>
  </si>
  <si>
    <t>V0478</t>
  </si>
  <si>
    <t>V0385</t>
  </si>
  <si>
    <t>V0287</t>
  </si>
  <si>
    <t>V0290</t>
  </si>
  <si>
    <t>V0307</t>
  </si>
  <si>
    <t>V0047</t>
  </si>
  <si>
    <t>V0264</t>
  </si>
  <si>
    <t>V0401</t>
  </si>
  <si>
    <t>V0123</t>
  </si>
  <si>
    <t>V0250</t>
  </si>
  <si>
    <t>V0106</t>
  </si>
  <si>
    <t>V0453</t>
  </si>
  <si>
    <t>V0013</t>
  </si>
  <si>
    <t>V0412</t>
  </si>
  <si>
    <t>V0306</t>
  </si>
  <si>
    <t>V0424</t>
  </si>
  <si>
    <t>V0178</t>
  </si>
  <si>
    <t>V0296</t>
  </si>
  <si>
    <t>V0458</t>
  </si>
  <si>
    <t>V0260</t>
  </si>
  <si>
    <t>V0428</t>
  </si>
  <si>
    <t>V0011</t>
  </si>
  <si>
    <t>V0122</t>
  </si>
  <si>
    <t>V0490</t>
  </si>
  <si>
    <t>V0321</t>
  </si>
  <si>
    <t>V0191</t>
  </si>
  <si>
    <t>V0028</t>
  </si>
  <si>
    <t>V0381</t>
  </si>
  <si>
    <t>V0208</t>
  </si>
  <si>
    <t>V0409</t>
  </si>
  <si>
    <t>V0229</t>
  </si>
  <si>
    <t>V0482</t>
  </si>
  <si>
    <t>V0113</t>
  </si>
  <si>
    <t>V0450</t>
  </si>
  <si>
    <t>V0337</t>
  </si>
  <si>
    <t>V0238</t>
  </si>
  <si>
    <t>V0399</t>
  </si>
  <si>
    <t>V0315</t>
  </si>
  <si>
    <t>V0402</t>
  </si>
  <si>
    <t>V0366</t>
  </si>
  <si>
    <t>V0475</t>
  </si>
  <si>
    <t>V0390</t>
  </si>
  <si>
    <t>V0104</t>
  </si>
  <si>
    <t>V0154</t>
  </si>
  <si>
    <t>V0185</t>
  </si>
  <si>
    <t>V0060</t>
  </si>
  <si>
    <t>V0461</t>
  </si>
  <si>
    <t>V0034</t>
  </si>
  <si>
    <t>V0014</t>
  </si>
  <si>
    <t>V0176</t>
  </si>
  <si>
    <t>V0434</t>
  </si>
  <si>
    <t>V0438</t>
  </si>
  <si>
    <t>V0403</t>
  </si>
  <si>
    <t>V0387</t>
  </si>
  <si>
    <t>V0248</t>
  </si>
  <si>
    <t>V0094</t>
  </si>
  <si>
    <t>V0144</t>
  </si>
  <si>
    <t>V0030</t>
  </si>
  <si>
    <t>V0493</t>
  </si>
  <si>
    <t>V0069</t>
  </si>
  <si>
    <t>V0141</t>
  </si>
  <si>
    <t>V0175</t>
  </si>
  <si>
    <t>V0329</t>
  </si>
  <si>
    <t>V0159</t>
  </si>
  <si>
    <t>V0371</t>
  </si>
  <si>
    <t>V0356</t>
  </si>
  <si>
    <t>V0235</t>
  </si>
  <si>
    <t>V0382</t>
  </si>
  <si>
    <t>V0406</t>
  </si>
  <si>
    <t>V0311</t>
  </si>
  <si>
    <t>V0362</t>
  </si>
  <si>
    <t>V0052</t>
  </si>
  <si>
    <t>V0137</t>
  </si>
  <si>
    <t>V0359</t>
  </si>
  <si>
    <t>V0270</t>
  </si>
  <si>
    <t>V0150</t>
  </si>
  <si>
    <t>V0044</t>
  </si>
  <si>
    <t>V0267</t>
  </si>
  <si>
    <t>V0284</t>
  </si>
  <si>
    <t>V0467</t>
  </si>
  <si>
    <t>V0017</t>
  </si>
  <si>
    <t>V0158</t>
  </si>
  <si>
    <t>V0384</t>
  </si>
  <si>
    <t>V0066</t>
  </si>
  <si>
    <t>V0172</t>
  </si>
  <si>
    <t>V0093</t>
  </si>
  <si>
    <t>V0477</t>
  </si>
  <si>
    <t>V0282</t>
  </si>
  <si>
    <t>V0351</t>
  </si>
  <si>
    <t>V0319</t>
  </si>
  <si>
    <t>V0167</t>
  </si>
  <si>
    <t>V0301</t>
  </si>
  <si>
    <t>V0130</t>
  </si>
  <si>
    <t>V0339</t>
  </si>
  <si>
    <t>V0494</t>
  </si>
  <si>
    <t>V0251</t>
  </si>
  <si>
    <t>V0043</t>
  </si>
  <si>
    <t>V0308</t>
  </si>
  <si>
    <t>V0484</t>
  </si>
  <si>
    <t>V0190</t>
  </si>
  <si>
    <t>V0479</t>
  </si>
  <si>
    <t>V0224</t>
  </si>
  <si>
    <t>V0079</t>
  </si>
  <si>
    <t>V0373</t>
  </si>
  <si>
    <t>V0184</t>
  </si>
  <si>
    <t>V0059</t>
  </si>
  <si>
    <t>V0332</t>
  </si>
  <si>
    <t>V0436</t>
  </si>
  <si>
    <t>V0495</t>
  </si>
  <si>
    <t>V0152</t>
  </si>
  <si>
    <t>V0443</t>
  </si>
  <si>
    <t>V0099</t>
  </si>
  <si>
    <t>V0039</t>
  </si>
  <si>
    <t>V0417</t>
  </si>
  <si>
    <t>V0219</t>
  </si>
  <si>
    <t>V0292</t>
  </si>
  <si>
    <t>V0262</t>
  </si>
  <si>
    <t>V0183</t>
  </si>
  <si>
    <t>V0318</t>
  </si>
  <si>
    <t>V0091</t>
  </si>
  <si>
    <t>V0472</t>
  </si>
  <si>
    <t>V0057</t>
  </si>
  <si>
    <t>V0372</t>
  </si>
  <si>
    <t>V0330</t>
  </si>
  <si>
    <t>V0367</t>
  </si>
  <si>
    <t>V0457</t>
  </si>
  <si>
    <t>V0212</t>
  </si>
  <si>
    <t>V0247</t>
  </si>
  <si>
    <t>V0498</t>
  </si>
  <si>
    <t>V0075</t>
  </si>
  <si>
    <t>V0430</t>
  </si>
  <si>
    <t>V0101</t>
  </si>
  <si>
    <t>V0419</t>
  </si>
  <si>
    <t>V0201</t>
  </si>
  <si>
    <t>V0100</t>
  </si>
  <si>
    <t>V0145</t>
  </si>
  <si>
    <t>V0031</t>
  </si>
  <si>
    <t>V0115</t>
  </si>
  <si>
    <t>V0491</t>
  </si>
  <si>
    <t>V0243</t>
  </si>
  <si>
    <t>V0476</t>
  </si>
  <si>
    <t>V0018</t>
  </si>
  <si>
    <t>V0352</t>
  </si>
  <si>
    <t>V0119</t>
  </si>
  <si>
    <t>V0355</t>
  </si>
  <si>
    <t>V0161</t>
  </si>
  <si>
    <t>V0008</t>
  </si>
  <si>
    <t>V0378</t>
  </si>
  <si>
    <t>V0090</t>
  </si>
  <si>
    <t>V0053</t>
  </si>
  <si>
    <t>V0151</t>
  </si>
  <si>
    <t>V0489</t>
  </si>
  <si>
    <t>V0216</t>
  </si>
  <si>
    <t>V0240</t>
  </si>
  <si>
    <t>V0051</t>
  </si>
  <si>
    <t>V0295</t>
  </si>
  <si>
    <t>V0441</t>
  </si>
  <si>
    <t>V0459</t>
  </si>
  <si>
    <t>V0164</t>
  </si>
  <si>
    <t>V0206</t>
  </si>
  <si>
    <t>V0010</t>
  </si>
  <si>
    <t>V0015</t>
  </si>
  <si>
    <t>V0310</t>
  </si>
  <si>
    <t>V0074</t>
  </si>
  <si>
    <t>V0194</t>
  </si>
  <si>
    <t>V0298</t>
  </si>
  <si>
    <t>V0391</t>
  </si>
  <si>
    <t>V0500</t>
  </si>
  <si>
    <t>V0163</t>
  </si>
  <si>
    <t>V0146</t>
  </si>
  <si>
    <t>V0334</t>
  </si>
  <si>
    <t>V0340</t>
  </si>
  <si>
    <t>V0139</t>
  </si>
  <si>
    <t>V0379</t>
  </si>
  <si>
    <t>V0258</t>
  </si>
  <si>
    <t>V0322</t>
  </si>
  <si>
    <t>V0496</t>
  </si>
  <si>
    <t>V0221</t>
  </si>
  <si>
    <t>V0257</t>
  </si>
  <si>
    <t>V0084</t>
  </si>
  <si>
    <t>V0364</t>
  </si>
  <si>
    <t>V0128</t>
  </si>
  <si>
    <t>V0003</t>
  </si>
  <si>
    <t>V0411</t>
  </si>
  <si>
    <t>V0386</t>
  </si>
  <si>
    <t>V0433</t>
  </si>
  <si>
    <t>V0188</t>
  </si>
  <si>
    <t>V0029</t>
  </si>
  <si>
    <t>V0454</t>
  </si>
  <si>
    <t>V0343</t>
  </si>
  <si>
    <t>V0160</t>
  </si>
  <si>
    <t>V0414</t>
  </si>
  <si>
    <t>V0422</t>
  </si>
  <si>
    <t>V0155</t>
  </si>
  <si>
    <t>V0117</t>
  </si>
  <si>
    <t>V0395</t>
  </si>
  <si>
    <t>V0317</t>
  </si>
  <si>
    <t>V0349</t>
  </si>
  <si>
    <t>V0187</t>
  </si>
  <si>
    <t>V0048</t>
  </si>
  <si>
    <t>V0180</t>
  </si>
  <si>
    <t>V0304</t>
  </si>
  <si>
    <t>V0134</t>
  </si>
  <si>
    <t>V0396</t>
  </si>
  <si>
    <t>V0199</t>
  </si>
  <si>
    <t>V0289</t>
  </si>
  <si>
    <t>V0210</t>
  </si>
  <si>
    <t>V0170</t>
  </si>
  <si>
    <t>V0110</t>
  </si>
  <si>
    <t>V0171</t>
  </si>
  <si>
    <t>V0466</t>
  </si>
  <si>
    <t>V0416</t>
  </si>
  <si>
    <t>V0195</t>
  </si>
  <si>
    <t>V0369</t>
  </si>
  <si>
    <t>V0336</t>
  </si>
  <si>
    <t>V0127</t>
  </si>
  <si>
    <t>V0234</t>
  </si>
  <si>
    <t>V0068</t>
  </si>
  <si>
    <t>V0129</t>
  </si>
  <si>
    <t>V0220</t>
  </si>
  <si>
    <t>V0204</t>
  </si>
  <si>
    <t>V0088</t>
  </si>
  <si>
    <t>V0254</t>
  </si>
  <si>
    <t>V0397</t>
  </si>
  <si>
    <t>V0437</t>
  </si>
  <si>
    <t>V0223</t>
  </si>
  <si>
    <t>V0276</t>
  </si>
  <si>
    <t>V0049</t>
  </si>
  <si>
    <t>V0131</t>
  </si>
  <si>
    <t>V0305</t>
  </si>
  <si>
    <t>V0426</t>
  </si>
  <si>
    <t>V0328</t>
  </si>
  <si>
    <t>V0071</t>
  </si>
  <si>
    <t>V0273</t>
  </si>
  <si>
    <t>V0423</t>
  </si>
  <si>
    <t>V0297</t>
  </si>
  <si>
    <t>V0326</t>
  </si>
  <si>
    <t>V0062</t>
  </si>
  <si>
    <t>V0148</t>
  </si>
  <si>
    <t>V0182</t>
  </si>
  <si>
    <t>V0471</t>
  </si>
  <si>
    <t>V0302</t>
  </si>
  <si>
    <t>V0347</t>
  </si>
  <si>
    <t>V0193</t>
  </si>
  <si>
    <t>V0041</t>
  </si>
  <si>
    <t>V0064</t>
  </si>
  <si>
    <t>V0045</t>
  </si>
  <si>
    <t>V0077</t>
  </si>
  <si>
    <t>V0316</t>
  </si>
  <si>
    <t>V0275</t>
  </si>
  <si>
    <t>V0196</t>
  </si>
  <si>
    <t>V0331</t>
  </si>
  <si>
    <t>V0118</t>
  </si>
  <si>
    <t>V0207</t>
  </si>
  <si>
    <t>V0136</t>
  </si>
  <si>
    <t>V0033</t>
  </si>
  <si>
    <t>V0217</t>
  </si>
  <si>
    <t>V0009</t>
  </si>
  <si>
    <t>V0231</t>
  </si>
  <si>
    <t>V0002</t>
  </si>
  <si>
    <t>V0348</t>
  </si>
  <si>
    <t>V0281</t>
  </si>
  <si>
    <t>V0448</t>
  </si>
  <si>
    <t>V0393</t>
  </si>
  <si>
    <t>V0280</t>
  </si>
  <si>
    <t>V0036</t>
  </si>
  <si>
    <t>V0138</t>
  </si>
  <si>
    <t>V0233</t>
  </si>
  <si>
    <t>V0065</t>
  </si>
  <si>
    <t>V0377</t>
  </si>
  <si>
    <t>V0097</t>
  </si>
  <si>
    <t>V0073</t>
  </si>
  <si>
    <t>V0300</t>
  </si>
  <si>
    <t>V0203</t>
  </si>
  <si>
    <t>V0133</t>
  </si>
  <si>
    <t>V0274</t>
  </si>
  <si>
    <t>V0147</t>
  </si>
  <si>
    <t>V0058</t>
  </si>
  <si>
    <t>V0061</t>
  </si>
  <si>
    <t>V0338</t>
  </si>
  <si>
    <t>V0277</t>
  </si>
  <si>
    <t>V0468</t>
  </si>
  <si>
    <t>V0241</t>
  </si>
  <si>
    <t>V0312</t>
  </si>
  <si>
    <t>V0497</t>
  </si>
  <si>
    <t>V0440</t>
  </si>
  <si>
    <t>V0211</t>
  </si>
  <si>
    <t>V0415</t>
  </si>
  <si>
    <t>V0429</t>
  </si>
  <si>
    <t>V0460</t>
  </si>
  <si>
    <t>V0132</t>
  </si>
  <si>
    <t>V0413</t>
  </si>
  <si>
    <t>V0253</t>
  </si>
  <si>
    <t>V0012</t>
  </si>
  <si>
    <t>V0283</t>
  </si>
  <si>
    <t>V0087</t>
  </si>
  <si>
    <t>V0259</t>
  </si>
  <si>
    <t>V0198</t>
  </si>
  <si>
    <t>V0333</t>
  </si>
  <si>
    <t>V0001</t>
  </si>
  <si>
    <t>V0218</t>
  </si>
  <si>
    <t>V0425</t>
  </si>
  <si>
    <t>V0230</t>
  </si>
  <si>
    <t>V0025</t>
  </si>
  <si>
    <t>V0263</t>
  </si>
  <si>
    <t>V0040</t>
  </si>
  <si>
    <t>V0096</t>
  </si>
  <si>
    <t>V0080</t>
  </si>
  <si>
    <t>V0016</t>
  </si>
  <si>
    <t>V0124</t>
  </si>
  <si>
    <t>V0086</t>
  </si>
  <si>
    <t>V0499</t>
  </si>
  <si>
    <t>V0092</t>
  </si>
  <si>
    <t>V0125</t>
  </si>
  <si>
    <t>V0024</t>
  </si>
  <si>
    <t>V0143</t>
  </si>
  <si>
    <t>V0162</t>
  </si>
  <si>
    <t>V0464</t>
  </si>
  <si>
    <t>V0157</t>
  </si>
  <si>
    <t>V0149</t>
  </si>
  <si>
    <t>V0007</t>
  </si>
  <si>
    <t>V0400</t>
  </si>
  <si>
    <t>V0126</t>
  </si>
  <si>
    <t>V0309</t>
  </si>
  <si>
    <t>V0313</t>
  </si>
  <si>
    <t>V0042</t>
  </si>
  <si>
    <t>V0346</t>
  </si>
  <si>
    <t>V0246</t>
  </si>
  <si>
    <t>V0291</t>
  </si>
  <si>
    <t>V0418</t>
  </si>
  <si>
    <t>V0485</t>
  </si>
  <si>
    <t>V0279</t>
  </si>
  <si>
    <t>V0324</t>
  </si>
  <si>
    <t>V0213</t>
  </si>
  <si>
    <t>V0023</t>
  </si>
  <si>
    <t>V0407</t>
  </si>
  <si>
    <t>V0244</t>
  </si>
  <si>
    <t>V0200</t>
  </si>
  <si>
    <t>V0140</t>
  </si>
  <si>
    <t>V0370</t>
  </si>
  <si>
    <t>V0004</t>
  </si>
  <si>
    <t>V0323</t>
  </si>
  <si>
    <t>V0374</t>
  </si>
  <si>
    <t>V0388</t>
  </si>
  <si>
    <t>V0303</t>
  </si>
  <si>
    <t>V0470</t>
  </si>
  <si>
    <t>V0383</t>
  </si>
  <si>
    <t>V0314</t>
  </si>
  <si>
    <t>V0427</t>
  </si>
  <si>
    <t>V0205</t>
  </si>
  <si>
    <t>V0037</t>
  </si>
  <si>
    <t>V0153</t>
  </si>
  <si>
    <t>V0389</t>
  </si>
  <si>
    <t>V0286</t>
  </si>
  <si>
    <t>V0107</t>
  </si>
  <si>
    <t>V0169</t>
  </si>
  <si>
    <t>V0353</t>
  </si>
  <si>
    <t>V0102</t>
  </si>
  <si>
    <t>V0081</t>
  </si>
  <si>
    <t>V0006</t>
  </si>
  <si>
    <t>V0261</t>
  </si>
  <si>
    <t>V0067</t>
  </si>
  <si>
    <t>V0181</t>
  </si>
  <si>
    <t>V0142</t>
  </si>
  <si>
    <t>V0272</t>
  </si>
  <si>
    <t>V0442</t>
  </si>
  <si>
    <t>V0446</t>
  </si>
  <si>
    <t>V0108</t>
  </si>
  <si>
    <t>V0420</t>
  </si>
  <si>
    <t>V0268</t>
  </si>
  <si>
    <t>V0294</t>
  </si>
  <si>
    <t>V0439</t>
  </si>
  <si>
    <t>V0054</t>
  </si>
  <si>
    <t>V0083</t>
  </si>
  <si>
    <t>V0375</t>
  </si>
  <si>
    <t>V0222</t>
  </si>
  <si>
    <t>V0447</t>
  </si>
  <si>
    <t>V0242</t>
  </si>
  <si>
    <t>V0368</t>
  </si>
  <si>
    <t>V0209</t>
  </si>
  <si>
    <t>V0376</t>
  </si>
  <si>
    <t>V0225</t>
  </si>
  <si>
    <t>V0232</t>
  </si>
  <si>
    <t>V0474</t>
  </si>
  <si>
    <t>V0249</t>
  </si>
  <si>
    <t>V0380</t>
  </si>
  <si>
    <t>V0197</t>
  </si>
  <si>
    <t>V0392</t>
  </si>
  <si>
    <t>V0456</t>
  </si>
  <si>
    <t>V0202</t>
  </si>
  <si>
    <t>V0227</t>
  </si>
  <si>
    <t>V0245</t>
  </si>
  <si>
    <t>V0082</t>
  </si>
  <si>
    <t>V0421</t>
  </si>
  <si>
    <t>V0056</t>
  </si>
  <si>
    <t>V0116</t>
  </si>
  <si>
    <t>V0345</t>
  </si>
  <si>
    <t>V0335</t>
  </si>
  <si>
    <t>V0168</t>
  </si>
  <si>
    <t>Ventas_Totales</t>
  </si>
  <si>
    <t>Costo_Total</t>
  </si>
  <si>
    <t>Margen_Bruto</t>
  </si>
  <si>
    <t>INDICADORES GENERALTES</t>
  </si>
  <si>
    <t>Ventas Totales</t>
  </si>
  <si>
    <t>Costos Totales</t>
  </si>
  <si>
    <t>Margen bruto</t>
  </si>
  <si>
    <t>Margen bruto %</t>
  </si>
  <si>
    <t>Etiquetas de fila</t>
  </si>
  <si>
    <t>Total general</t>
  </si>
  <si>
    <t>Suma de Ventas_Totales</t>
  </si>
  <si>
    <t>Suma de Margen_Bruto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</si>
  <si>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</si>
  <si>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</si>
  <si>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</si>
  <si>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</si>
  <si>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</si>
  <si>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</si>
  <si>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</si>
  <si>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</si>
  <si>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</si>
  <si>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</si>
  <si>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</si>
  <si>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</si>
  <si>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2025</t>
  </si>
  <si>
    <t>SALES PERFORMANCE ANALYSIS</t>
  </si>
  <si>
    <t>Período analizado: Enero – Diciembre 2025</t>
  </si>
  <si>
    <t>VENTAS TOTALES</t>
  </si>
  <si>
    <t>COSTOS TOTALES</t>
  </si>
  <si>
    <t>MARGEN BRUTO</t>
  </si>
  <si>
    <t>MARGEN BRUTO (%)</t>
  </si>
  <si>
    <t>CONCLUSIONES DEL ANÁLISIS</t>
  </si>
  <si>
    <t>1.Notebook fue el producto con mayores ventas y mayor margen bruto</t>
  </si>
  <si>
    <t>2. Julio fue el mes con mayores ventas del año</t>
  </si>
  <si>
    <t>3. Febrero fue el mes con menores ventas del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</si>
</sst>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dd/mm/yyyy"/>
    <numFmt numFmtId="165" formatCode="&quot;$&quot;\ #,##0.00"/>
    <numFmt numFmtId="166" formatCode="&quot;$&quot;\ #,##0"/>
    <numFmt numFmtId="167" formatCode="_-&quot;$&quot;\ * #,##0_-;\-&quot;$&quot;\ * #,##0_-;_-&quot;$&quot;\ * &quot;-&quot;??_-;_-@_-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FFFF"/>
      <name val="Calibri"/>
      <family val="2"/>
    </font>
    <font>
      <b/>
      <sz val="18"/>
      <color theme="0"/>
      <name val="Arial"/>
      <family val="2"/>
    </font>
    <font>
      <sz val="11"/>
      <color theme="1" tint="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165" fontId="4" fillId="0" borderId="0" xfId="0" applyNumberFormat="1" applyFont="1"/>
    <xf numFmtId="9" fontId="0" fillId="0" borderId="0" xfId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0" fontId="0" fillId="0" borderId="0" xfId="0" applyAlignment="1">
      <alignment horizontal="center"/>
    </xf>
    <xf numFmtId="167" fontId="8" fillId="0" borderId="0" xfId="2" applyNumberFormat="1" applyFont="1"/>
    <xf numFmtId="166" fontId="8" fillId="0" borderId="0" xfId="2" applyNumberFormat="1" applyFont="1"/>
    <xf numFmtId="166" fontId="8" fillId="0" borderId="0" xfId="0" applyNumberFormat="1" applyFont="1"/>
    <xf numFmtId="9" fontId="8" fillId="0" borderId="0" xfId="0" applyNumberFormat="1" applyFont="1"/>
    <xf numFmtId="0" fontId="9" fillId="4" borderId="0" xfId="0" applyFont="1" applyFill="1"/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</cellXfs>
  <cellStyles count="3">
    <cellStyle name="Moneda" xfId="2" builtinId="4"/>
    <cellStyle name="Normal" xfId="0" builtinId="0"/>
    <cellStyle name="Porcentaje" xfId="1" builtinId="5"/>
  </cellStyles>
  <dxfs count="11">
    <dxf>
      <numFmt numFmtId="166" formatCode="&quot;$&quot;\ #,##0"/>
    </dxf>
    <dxf>
      <numFmt numFmtId="166" formatCode="&quot;$&quot;\ #,##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4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[Sales_Performance_Analysis_Portfolio.xlsx]Ventas-Mes!TablaDinámica3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Evolución mensual de ventas — 2025</a:t>
            </a:r>
            <a:endParaRPr lang="en-US"/>
          </a:p>
        </c:rich>
      </c:tx>
      <c:layout>
        <c:manualLayout>
          <c:xMode val="edge"/>
          <c:yMode val="edge"/>
          <c:x val="0.1846318897637795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'Ventas-Mes'!$B$3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'Ventas-Mes'!$A$4:$A$17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'Ventas-Mes'!$B$4:$B$17</c:f>
              <c:numCache>
                <c:formatCode>"$"\ #,##0</c:formatCode>
                <c:ptCount val="12"/>
                <c:pt idx="0">
                  <c:v>27585400</c:v>
                </c:pt>
                <c:pt idx="1">
                  <c:v>18157100</c:v>
                </c:pt>
                <c:pt idx="2">
                  <c:v>22712500</c:v>
                </c:pt>
                <c:pt idx="3">
                  <c:v>24509500</c:v>
                </c:pt>
                <c:pt idx="4">
                  <c:v>32445800</c:v>
                </c:pt>
                <c:pt idx="5">
                  <c:v>25832400</c:v>
                </c:pt>
                <c:pt idx="6">
                  <c:v>41368500</c:v>
                </c:pt>
                <c:pt idx="7">
                  <c:v>25762800</c:v>
                </c:pt>
                <c:pt idx="8">
                  <c:v>23770900</c:v>
                </c:pt>
                <c:pt idx="9">
                  <c:v>36436700</c:v>
                </c:pt>
                <c:pt idx="10">
                  <c:v>41333400</c:v>
                </c:pt>
                <c:pt idx="11">
                  <c:v>24523200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7-4D37-8233-52BE4CCAEC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6983583"/>
        <c:axId val="1562619567"/>
      </c:barChart>
      <c:catAx>
        <c:axId val="157698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619567"/>
        <c:crosses val="autoZero"/>
        <c:auto val="1"/>
        <c:lblAlgn val="ctr"/>
        <c:lblOffset val="100"/>
        <c:noMultiLvlLbl val="0"/>
      </c:catAx>
      <c:valAx>
        <c:axId val="1562619567"/>
        <c:scaling>
          <c:orientation val="minMax"/>
        </c:scaling>
        <c:delete val="0"/>
        <c:axPos val="l"/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7698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[Sales_Performance_Analysis_Portfolio.xlsx]Ventas-Totales!TablaDinámica1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Ventas totales por producto.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'Ventas-Totales'!$B$3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'Ventas-Totales'!$A$4:$A$14</c:f>
              <c:strCache>
                <c:ptCount val="10"/>
                <c:pt idx="0">
                  <c:v>Notebook</c:v>
                </c:pt>
                <c:pt idx="1">
                  <c:v>Monitor</c:v>
                </c:pt>
                <c:pt idx="2">
                  <c:v>Silla ergonómica</c:v>
                </c:pt>
                <c:pt idx="3">
                  <c:v>Tablet</c:v>
                </c:pt>
                <c:pt idx="4">
                  <c:v>Escritorio</c:v>
                </c:pt>
                <c:pt idx="5">
                  <c:v>Auriculares</c:v>
                </c:pt>
                <c:pt idx="6">
                  <c:v>Teclado</c:v>
                </c:pt>
                <c:pt idx="7">
                  <c:v>Mouse</c:v>
                </c:pt>
                <c:pt idx="8">
                  <c:v>Webcam</c:v>
                </c:pt>
                <c:pt idx="9">
                  <c:v>Lámpara de escritorio</c:v>
                </c:pt>
              </c:strCache>
            </c:strRef>
          </c:cat>
          <c:val>
            <c:numRef>
              <c:f>'Ventas-Totales'!$B$4:$B$14</c:f>
              <c:numCache>
                <c:formatCode>"$"\ #,##0.00</c:formatCode>
                <c:ptCount val="10"/>
                <c:pt idx="0">
                  <c:v>154278500</c:v>
                </c:pt>
                <c:pt idx="1">
                  <c:v>56276700</c:v>
                </c:pt>
                <c:pt idx="2">
                  <c:v>33696700</c:v>
                </c:pt>
                <c:pt idx="3">
                  <c:v>31975300</c:v>
                </c:pt>
                <c:pt idx="4">
                  <c:v>31065400</c:v>
                </c:pt>
                <c:pt idx="5">
                  <c:v>11392500</c:v>
                </c:pt>
                <c:pt idx="6">
                  <c:v>10014100</c:v>
                </c:pt>
                <c:pt idx="7">
                  <c:v>7046000</c:v>
                </c:pt>
                <c:pt idx="8">
                  <c:v>7009800</c:v>
                </c:pt>
                <c:pt idx="9">
                  <c:v>1683200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AE8-ADF1-95872C0310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52509919"/>
        <c:axId val="1562489487"/>
      </c:barChart>
      <c:catAx>
        <c:axId val="185250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489487"/>
        <c:crosses val="autoZero"/>
        <c:auto val="1"/>
        <c:lblAlgn val="ctr"/>
        <c:lblOffset val="100"/>
        <c:noMultiLvlLbl val="0"/>
      </c:catAx>
      <c:valAx>
        <c:axId val="156248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525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[Sales_Performance_Analysis_Portfolio.xlsx]Margen-Bruto!TablaDinámica2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Margen bruto por producto.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64695628155466"/>
          <c:y val="0.16708333333333336"/>
          <c:w val="0.6780113779868717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'Margen-Bruto'!$B$3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'Margen-Bruto'!$A$4:$A$14</c:f>
              <c:strCache>
                <c:ptCount val="10"/>
                <c:pt idx="0">
                  <c:v>Notebook</c:v>
                </c:pt>
                <c:pt idx="1">
                  <c:v>Monitor</c:v>
                </c:pt>
                <c:pt idx="2">
                  <c:v>Silla ergonómica</c:v>
                </c:pt>
                <c:pt idx="3">
                  <c:v>Escritorio</c:v>
                </c:pt>
                <c:pt idx="4">
                  <c:v>Tablet</c:v>
                </c:pt>
                <c:pt idx="5">
                  <c:v>Auriculares</c:v>
                </c:pt>
                <c:pt idx="6">
                  <c:v>Teclado</c:v>
                </c:pt>
                <c:pt idx="7">
                  <c:v>Mouse</c:v>
                </c:pt>
                <c:pt idx="8">
                  <c:v>Webcam</c:v>
                </c:pt>
                <c:pt idx="9">
                  <c:v>Lámpara de escritorio</c:v>
                </c:pt>
              </c:strCache>
            </c:strRef>
          </c:cat>
          <c:val>
            <c:numRef>
              <c:f>'Margen-Bruto'!$B$4:$B$14</c:f>
              <c:numCache>
                <c:formatCode>"$"\ #,##0.00</c:formatCode>
                <c:ptCount val="10"/>
                <c:pt idx="0">
                  <c:v>42242900</c:v>
                </c:pt>
                <c:pt idx="1">
                  <c:v>17931000</c:v>
                </c:pt>
                <c:pt idx="2">
                  <c:v>12337800</c:v>
                </c:pt>
                <c:pt idx="3">
                  <c:v>10605700</c:v>
                </c:pt>
                <c:pt idx="4">
                  <c:v>8718300</c:v>
                </c:pt>
                <c:pt idx="5">
                  <c:v>5358100</c:v>
                </c:pt>
                <c:pt idx="6">
                  <c:v>4955200</c:v>
                </c:pt>
                <c:pt idx="7">
                  <c:v>3829700</c:v>
                </c:pt>
                <c:pt idx="8">
                  <c:v>3258300</c:v>
                </c:pt>
                <c:pt idx="9">
                  <c:v>842900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7-47E3-A865-356151745E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4490015"/>
        <c:axId val="1562504367"/>
      </c:barChart>
      <c:catAx>
        <c:axId val="19244900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504367"/>
        <c:crosses val="autoZero"/>
        <c:auto val="1"/>
        <c:lblAlgn val="ctr"/>
        <c:lblOffset val="100"/>
        <c:noMultiLvlLbl val="0"/>
      </c:catAx>
      <c:valAx>
        <c:axId val="1562504367"/>
        <c:scaling>
          <c:orientation val="minMax"/>
        </c:scaling>
        <c:delete val="0"/>
        <c:axPos val="b"/>
        <c:numFmt formatCode="&quot;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449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[Sales_Performance_Analysis_Portfolio.xlsx]Ventas-Mes!TablaDinámica3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Evolución mensual de ventas — 2025</a:t>
            </a:r>
            <a:endParaRPr lang="en-US"/>
          </a:p>
        </c:rich>
      </c:tx>
      <c:layout>
        <c:manualLayout>
          <c:xMode val="edge"/>
          <c:yMode val="edge"/>
          <c:x val="0.1846318897637795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'Ventas-Mes'!$B$3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'Ventas-Mes'!$A$4:$A$17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'Ventas-Mes'!$B$4:$B$17</c:f>
              <c:numCache>
                <c:formatCode>"$"\ #,##0</c:formatCode>
                <c:ptCount val="12"/>
                <c:pt idx="0">
                  <c:v>27585400</c:v>
                </c:pt>
                <c:pt idx="1">
                  <c:v>18157100</c:v>
                </c:pt>
                <c:pt idx="2">
                  <c:v>22712500</c:v>
                </c:pt>
                <c:pt idx="3">
                  <c:v>24509500</c:v>
                </c:pt>
                <c:pt idx="4">
                  <c:v>32445800</c:v>
                </c:pt>
                <c:pt idx="5">
                  <c:v>25832400</c:v>
                </c:pt>
                <c:pt idx="6">
                  <c:v>41368500</c:v>
                </c:pt>
                <c:pt idx="7">
                  <c:v>25762800</c:v>
                </c:pt>
                <c:pt idx="8">
                  <c:v>23770900</c:v>
                </c:pt>
                <c:pt idx="9">
                  <c:v>36436700</c:v>
                </c:pt>
                <c:pt idx="10">
                  <c:v>41333400</c:v>
                </c:pt>
                <c:pt idx="11">
                  <c:v>24523200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54B-8255-103C0EBBC4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6983583"/>
        <c:axId val="1562619567"/>
      </c:barChart>
      <c:catAx>
        <c:axId val="157698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619567"/>
        <c:crosses val="autoZero"/>
        <c:auto val="1"/>
        <c:lblAlgn val="ctr"/>
        <c:lblOffset val="100"/>
        <c:noMultiLvlLbl val="0"/>
      </c:catAx>
      <c:valAx>
        <c:axId val="1562619567"/>
        <c:scaling>
          <c:orientation val="minMax"/>
        </c:scaling>
        <c:delete val="0"/>
        <c:axPos val="l"/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7698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[Sales_Performance_Analysis_Portfolio.xlsx]Ventas-Totales!TablaDinámica1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Ventas totales por producto.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34379125223719"/>
          <c:y val="0.16912037037037039"/>
          <c:w val="0.67860944354939567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'Ventas-Totales'!$B$3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'Ventas-Totales'!$A$4:$A$14</c:f>
              <c:strCache>
                <c:ptCount val="10"/>
                <c:pt idx="0">
                  <c:v>Notebook</c:v>
                </c:pt>
                <c:pt idx="1">
                  <c:v>Monitor</c:v>
                </c:pt>
                <c:pt idx="2">
                  <c:v>Silla ergonómica</c:v>
                </c:pt>
                <c:pt idx="3">
                  <c:v>Tablet</c:v>
                </c:pt>
                <c:pt idx="4">
                  <c:v>Escritorio</c:v>
                </c:pt>
                <c:pt idx="5">
                  <c:v>Auriculares</c:v>
                </c:pt>
                <c:pt idx="6">
                  <c:v>Teclado</c:v>
                </c:pt>
                <c:pt idx="7">
                  <c:v>Mouse</c:v>
                </c:pt>
                <c:pt idx="8">
                  <c:v>Webcam</c:v>
                </c:pt>
                <c:pt idx="9">
                  <c:v>Lámpara de escritorio</c:v>
                </c:pt>
              </c:strCache>
            </c:strRef>
          </c:cat>
          <c:val>
            <c:numRef>
              <c:f>'Ventas-Totales'!$B$4:$B$14</c:f>
              <c:numCache>
                <c:formatCode>"$"\ #,##0.00</c:formatCode>
                <c:ptCount val="10"/>
                <c:pt idx="0">
                  <c:v>154278500</c:v>
                </c:pt>
                <c:pt idx="1">
                  <c:v>56276700</c:v>
                </c:pt>
                <c:pt idx="2">
                  <c:v>33696700</c:v>
                </c:pt>
                <c:pt idx="3">
                  <c:v>31975300</c:v>
                </c:pt>
                <c:pt idx="4">
                  <c:v>31065400</c:v>
                </c:pt>
                <c:pt idx="5">
                  <c:v>11392500</c:v>
                </c:pt>
                <c:pt idx="6">
                  <c:v>10014100</c:v>
                </c:pt>
                <c:pt idx="7">
                  <c:v>7046000</c:v>
                </c:pt>
                <c:pt idx="8">
                  <c:v>7009800</c:v>
                </c:pt>
                <c:pt idx="9">
                  <c:v>1683200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C-48B9-BB75-A4B6B7E633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52509919"/>
        <c:axId val="1562489487"/>
      </c:barChart>
      <c:catAx>
        <c:axId val="185250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489487"/>
        <c:crosses val="autoZero"/>
        <c:auto val="1"/>
        <c:lblAlgn val="ctr"/>
        <c:lblOffset val="100"/>
        <c:noMultiLvlLbl val="0"/>
      </c:catAx>
      <c:valAx>
        <c:axId val="1562489487"/>
        <c:scaling>
          <c:orientation val="minMax"/>
        </c:scaling>
        <c:delete val="0"/>
        <c:axPos val="b"/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525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[Sales_Performance_Analysis_Portfolio.xlsx]Margen-Bruto!TablaDinámica2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Margen bruto por producto.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64695628155466"/>
          <c:y val="0.16708333333333336"/>
          <c:w val="0.6780113779868717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'Margen-Bruto'!$B$3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'Margen-Bruto'!$A$4:$A$14</c:f>
              <c:strCache>
                <c:ptCount val="10"/>
                <c:pt idx="0">
                  <c:v>Notebook</c:v>
                </c:pt>
                <c:pt idx="1">
                  <c:v>Monitor</c:v>
                </c:pt>
                <c:pt idx="2">
                  <c:v>Silla ergonómica</c:v>
                </c:pt>
                <c:pt idx="3">
                  <c:v>Escritorio</c:v>
                </c:pt>
                <c:pt idx="4">
                  <c:v>Tablet</c:v>
                </c:pt>
                <c:pt idx="5">
                  <c:v>Auriculares</c:v>
                </c:pt>
                <c:pt idx="6">
                  <c:v>Teclado</c:v>
                </c:pt>
                <c:pt idx="7">
                  <c:v>Mouse</c:v>
                </c:pt>
                <c:pt idx="8">
                  <c:v>Webcam</c:v>
                </c:pt>
                <c:pt idx="9">
                  <c:v>Lámpara de escritorio</c:v>
                </c:pt>
              </c:strCache>
            </c:strRef>
          </c:cat>
          <c:val>
            <c:numRef>
              <c:f>'Margen-Bruto'!$B$4:$B$14</c:f>
              <c:numCache>
                <c:formatCode>"$"\ #,##0.00</c:formatCode>
                <c:ptCount val="10"/>
                <c:pt idx="0">
                  <c:v>42242900</c:v>
                </c:pt>
                <c:pt idx="1">
                  <c:v>17931000</c:v>
                </c:pt>
                <c:pt idx="2">
                  <c:v>12337800</c:v>
                </c:pt>
                <c:pt idx="3">
                  <c:v>10605700</c:v>
                </c:pt>
                <c:pt idx="4">
                  <c:v>8718300</c:v>
                </c:pt>
                <c:pt idx="5">
                  <c:v>5358100</c:v>
                </c:pt>
                <c:pt idx="6">
                  <c:v>4955200</c:v>
                </c:pt>
                <c:pt idx="7">
                  <c:v>3829700</c:v>
                </c:pt>
                <c:pt idx="8">
                  <c:v>3258300</c:v>
                </c:pt>
                <c:pt idx="9">
                  <c:v>842900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6-4352-83AA-89B4D49D6B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24490015"/>
        <c:axId val="1562504367"/>
      </c:barChart>
      <c:catAx>
        <c:axId val="19244900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62504367"/>
        <c:crosses val="autoZero"/>
        <c:auto val="1"/>
        <c:lblAlgn val="ctr"/>
        <c:lblOffset val="100"/>
        <c:noMultiLvlLbl val="0"/>
      </c:catAx>
      <c:valAx>
        <c:axId val="1562504367"/>
        <c:scaling>
          <c:orientation val="minMax"/>
        </c:scaling>
        <c:delete val="0"/>
        <c:axPos val="b"/>
        <c:numFmt formatCode="&quot;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449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2</xdr:row>
      <xdr:rowOff>14287</xdr:rowOff>
    </xdr:from>
    <xdr:to>
      <xdr:col>13</xdr:col>
      <xdr:colOff>9525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33177B-7D0C-621F-DD55-32C50386B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147637</xdr:rowOff>
    </xdr:from>
    <xdr:to>
      <xdr:col>10</xdr:col>
      <xdr:colOff>104775</xdr:colOff>
      <xdr:row>16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1D5983-FE8A-95CB-5F57-3AA1BB81C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2</xdr:row>
      <xdr:rowOff>42862</xdr:rowOff>
    </xdr:from>
    <xdr:to>
      <xdr:col>12</xdr:col>
      <xdr:colOff>276225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412BEC-FE3B-90DD-236E-B6F18C28C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9525</xdr:rowOff>
    </xdr:from>
    <xdr:to>
      <xdr:col>8</xdr:col>
      <xdr:colOff>9525</xdr:colOff>
      <xdr:row>22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0F368D-5631-45D5-A220-B7ADE8C17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8</xdr:row>
      <xdr:rowOff>19050</xdr:rowOff>
    </xdr:from>
    <xdr:to>
      <xdr:col>16</xdr:col>
      <xdr:colOff>9525</xdr:colOff>
      <xdr:row>23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7E4687-44D1-4286-BED0-D98B10D77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24</xdr:row>
      <xdr:rowOff>0</xdr:rowOff>
    </xdr:from>
    <xdr:to>
      <xdr:col>7</xdr:col>
      <xdr:colOff>895350</xdr:colOff>
      <xdr:row>35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02BADF-1DE4-47FF-9EED-7D3103757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el Aguirre" refreshedDate="46322.912588541665" createdVersion="8" refreshedVersion="8" minRefreshableVersion="3" recordCount="500" xr:uid="{988754A5-FB1F-4118-9E76-95B883EBBA6B}">
  <cacheSource type="worksheet">
    <worksheetSource name="Ventas"/>
  </cacheSource>
  <cacheFields count="14">
    <cacheField name="ID_Venta" numFmtId="0">
      <sharedItems/>
    </cacheField>
    <cacheField name="Fecha" numFmtId="164">
      <sharedItems containsSemiMixedTypes="0" containsNonDate="0" containsDate="1" containsString="0" minDate="2025-01-01T00:00:00" maxDate="2026-01-01T00:00:00" count="280">
        <d v="2025-01-01T00:00:00"/>
        <d v="2025-01-02T00:00:00"/>
        <d v="2025-01-03T00:00:00"/>
        <d v="2025-01-04T00:00:00"/>
        <d v="2025-01-06T00:00:00"/>
        <d v="2025-01-07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18T00:00:00"/>
        <d v="2025-01-19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5T00:00:00"/>
        <d v="2025-02-16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3-01T00:00:00"/>
        <d v="2025-03-02T00:00:00"/>
        <d v="2025-03-04T00:00:00"/>
        <d v="2025-03-05T00:00:00"/>
        <d v="2025-03-06T00:00:00"/>
        <d v="2025-03-08T00:00:00"/>
        <d v="2025-03-09T00:00:00"/>
        <d v="2025-03-10T00:00:00"/>
        <d v="2025-03-11T00:00:00"/>
        <d v="2025-03-12T00:00:00"/>
        <d v="2025-03-15T00:00:00"/>
        <d v="2025-03-17T00:00:00"/>
        <d v="2025-03-18T00:00:00"/>
        <d v="2025-03-20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4T00:00:00"/>
        <d v="2025-05-05T00:00:00"/>
        <d v="2025-05-06T00:00:00"/>
        <d v="2025-05-07T00:00:00"/>
        <d v="2025-05-08T00:00:00"/>
        <d v="2025-05-09T00:00:00"/>
        <d v="2025-05-14T00:00:00"/>
        <d v="2025-05-15T00:00:00"/>
        <d v="2025-05-16T00:00:00"/>
        <d v="2025-05-17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1T00:00:00"/>
        <d v="2025-07-13T00:00:00"/>
        <d v="2025-07-14T00:00:00"/>
        <d v="2025-07-16T00:00:00"/>
        <d v="2025-07-17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8-01T00:00:00"/>
        <d v="2025-08-02T00:00:00"/>
        <d v="2025-08-03T00:00:00"/>
        <d v="2025-08-04T00:00:00"/>
        <d v="2025-08-06T00:00:00"/>
        <d v="2025-08-07T00:00:00"/>
        <d v="2025-08-08T00:00:00"/>
        <d v="2025-08-10T00:00:00"/>
        <d v="2025-08-11T00:00:00"/>
        <d v="2025-08-13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4T00:00:00"/>
        <d v="2025-09-25T00:00:00"/>
        <d v="2025-09-26T00:00:00"/>
        <d v="2025-09-27T00:00:00"/>
        <d v="2025-09-28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5T00:00:00"/>
        <d v="2025-10-27T00:00:00"/>
        <d v="2025-10-28T00:00:00"/>
        <d v="2025-10-29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6T00:00:00"/>
        <d v="2025-11-17T00:00:00"/>
        <d v="2025-11-18T00:00:00"/>
        <d v="2025-11-20T00:00:00"/>
        <d v="2025-11-22T00:00:00"/>
        <d v="2025-11-23T00:00:00"/>
        <d v="2025-11-24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3T00:00:00"/>
        <d v="2025-12-24T00:00:00"/>
        <d v="2025-12-25T00:00:00"/>
        <d v="2025-12-26T00:00:00"/>
        <d v="2025-12-28T00:00:00"/>
        <d v="2025-12-30T00:00:00"/>
        <d v="2025-12-31T00:00:00"/>
      </sharedItems>
      <fieldGroup par="13"/>
    </cacheField>
    <cacheField name="Producto" numFmtId="0">
      <sharedItems count="10">
        <s v="Mouse"/>
        <s v="Tablet"/>
        <s v="Webcam"/>
        <s v="Auriculares"/>
        <s v="Silla ergonómica"/>
        <s v="Escritorio"/>
        <s v="Teclado"/>
        <s v="Notebook"/>
        <s v="Monitor"/>
        <s v="Lámpara de escritorio"/>
      </sharedItems>
    </cacheField>
    <cacheField name="Categoría" numFmtId="0">
      <sharedItems/>
    </cacheField>
    <cacheField name="Cantidad" numFmtId="0">
      <sharedItems containsSemiMixedTypes="0" containsString="0" containsNumber="1" containsInteger="1" minValue="1" maxValue="7"/>
    </cacheField>
    <cacheField name="Precio_Unitario" numFmtId="165">
      <sharedItems containsSemiMixedTypes="0" containsString="0" containsNumber="1" containsInteger="1" minValue="20300" maxValue="709500"/>
    </cacheField>
    <cacheField name="Costo_Unitario" numFmtId="165">
      <sharedItems containsSemiMixedTypes="0" containsString="0" containsNumber="1" containsInteger="1" minValue="9700" maxValue="488800"/>
    </cacheField>
    <cacheField name="Vendedor" numFmtId="0">
      <sharedItems/>
    </cacheField>
    <cacheField name="Región" numFmtId="0">
      <sharedItems/>
    </cacheField>
    <cacheField name="Ventas_Totales" numFmtId="165">
      <sharedItems containsSemiMixedTypes="0" containsString="0" containsNumber="1" containsInteger="1" minValue="20400" maxValue="4611600"/>
    </cacheField>
    <cacheField name="Costo_Total" numFmtId="165">
      <sharedItems containsSemiMixedTypes="0" containsString="0" containsNumber="1" containsInteger="1" minValue="9700" maxValue="3382400"/>
    </cacheField>
    <cacheField name="Margen_Bruto" numFmtId="165">
      <sharedItems containsSemiMixedTypes="0" containsString="0" containsNumber="1" containsInteger="1" minValue="10400" maxValue="1485000"/>
    </cacheField>
    <cacheField name="Meses (Fecha)" numFmtId="0" databaseField="0">
      <fieldGroup base="1">
        <rangePr groupBy="months" startDate="2025-01-01T00:00:00" endDate="2026-01-01T00:00:00"/>
        <groupItems count="14">
          <s v="&lt;1/1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026"/>
        </groupItems>
      </fieldGroup>
    </cacheField>
    <cacheField name="Años (Fecha)" numFmtId="0" databaseField="0">
      <fieldGroup base="1">
        <rangePr groupBy="years" startDate="2025-01-01T00:00:00" endDate="2026-01-01T00:00:00"/>
        <groupItems count="4">
          <s v="&lt;1/1/2025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V0487"/>
    <x v="0"/>
    <x v="0"/>
    <s v="Accesorios"/>
    <n v="2"/>
    <n v="21900"/>
    <n v="9700"/>
    <s v="Lucía Gómez"/>
    <s v="Buenos Aires"/>
    <n v="43800"/>
    <n v="19400"/>
    <n v="24400"/>
  </r>
  <r>
    <s v="V0408"/>
    <x v="0"/>
    <x v="1"/>
    <s v="Tecnología"/>
    <n v="1"/>
    <n v="307300"/>
    <n v="216700"/>
    <s v="Sofía Díaz"/>
    <s v="Buenos Aires"/>
    <n v="307300"/>
    <n v="216700"/>
    <n v="90600"/>
  </r>
  <r>
    <s v="V0481"/>
    <x v="0"/>
    <x v="0"/>
    <s v="Accesorios"/>
    <n v="5"/>
    <n v="21200"/>
    <n v="9800"/>
    <s v="Valentina López"/>
    <s v="Buenos Aires"/>
    <n v="106000"/>
    <n v="49000"/>
    <n v="57000"/>
  </r>
  <r>
    <s v="V0293"/>
    <x v="1"/>
    <x v="2"/>
    <s v="Accesorios"/>
    <n v="2"/>
    <n v="43900"/>
    <n v="23700"/>
    <s v="Tomás Ruiz"/>
    <s v="Buenos Aires"/>
    <n v="87800"/>
    <n v="47400"/>
    <n v="40400"/>
  </r>
  <r>
    <s v="V0236"/>
    <x v="1"/>
    <x v="3"/>
    <s v="Accesorios"/>
    <n v="4"/>
    <n v="48100"/>
    <n v="25800"/>
    <s v="Mateo Pérez"/>
    <s v="Patagonia"/>
    <n v="192400"/>
    <n v="103200"/>
    <n v="89200"/>
  </r>
  <r>
    <s v="V0189"/>
    <x v="2"/>
    <x v="3"/>
    <s v="Accesorios"/>
    <n v="1"/>
    <n v="47000"/>
    <n v="25100"/>
    <s v="Sofía Díaz"/>
    <s v="Patagonia"/>
    <n v="47000"/>
    <n v="25100"/>
    <n v="21900"/>
  </r>
  <r>
    <s v="V0278"/>
    <x v="2"/>
    <x v="0"/>
    <s v="Accesorios"/>
    <n v="3"/>
    <n v="21500"/>
    <n v="10000"/>
    <s v="Mateo Pérez"/>
    <s v="Buenos Aires"/>
    <n v="64500"/>
    <n v="30000"/>
    <n v="34500"/>
  </r>
  <r>
    <s v="V0070"/>
    <x v="3"/>
    <x v="0"/>
    <s v="Accesorios"/>
    <n v="1"/>
    <n v="22000"/>
    <n v="9800"/>
    <s v="Lucía Gómez"/>
    <s v="Centro"/>
    <n v="22000"/>
    <n v="9800"/>
    <n v="12200"/>
  </r>
  <r>
    <s v="V0174"/>
    <x v="3"/>
    <x v="2"/>
    <s v="Accesorios"/>
    <n v="6"/>
    <n v="42400"/>
    <n v="22300"/>
    <s v="Mateo Pérez"/>
    <s v="Buenos Aires"/>
    <n v="254400"/>
    <n v="133800"/>
    <n v="120600"/>
  </r>
  <r>
    <s v="V0120"/>
    <x v="4"/>
    <x v="4"/>
    <s v="Muebles"/>
    <n v="2"/>
    <n v="170500"/>
    <n v="111200"/>
    <s v="Tomás Ruiz"/>
    <s v="Buenos Aires"/>
    <n v="341000"/>
    <n v="222400"/>
    <n v="118600"/>
  </r>
  <r>
    <s v="V0038"/>
    <x v="4"/>
    <x v="0"/>
    <s v="Accesorios"/>
    <n v="5"/>
    <n v="20500"/>
    <n v="10000"/>
    <s v="Valentina López"/>
    <s v="Centro"/>
    <n v="102500"/>
    <n v="50000"/>
    <n v="52500"/>
  </r>
  <r>
    <s v="V0365"/>
    <x v="5"/>
    <x v="5"/>
    <s v="Muebles"/>
    <n v="3"/>
    <n v="283400"/>
    <n v="175100"/>
    <s v="Lucía Gómez"/>
    <s v="Buenos Aires"/>
    <n v="850200"/>
    <n v="525300"/>
    <n v="324900"/>
  </r>
  <r>
    <s v="V0166"/>
    <x v="6"/>
    <x v="6"/>
    <s v="Accesorios"/>
    <n v="6"/>
    <n v="33500"/>
    <n v="18300"/>
    <s v="Mateo Pérez"/>
    <s v="Centro"/>
    <n v="201000"/>
    <n v="109800"/>
    <n v="91200"/>
  </r>
  <r>
    <s v="V0179"/>
    <x v="7"/>
    <x v="2"/>
    <s v="Accesorios"/>
    <n v="4"/>
    <n v="46100"/>
    <n v="22700"/>
    <s v="Sofía Díaz"/>
    <s v="Centro"/>
    <n v="184400"/>
    <n v="90800"/>
    <n v="93600"/>
  </r>
  <r>
    <s v="V0398"/>
    <x v="7"/>
    <x v="6"/>
    <s v="Accesorios"/>
    <n v="6"/>
    <n v="34600"/>
    <n v="18700"/>
    <s v="Mateo Pérez"/>
    <s v="Patagonia"/>
    <n v="207600"/>
    <n v="112200"/>
    <n v="95400"/>
  </r>
  <r>
    <s v="V0492"/>
    <x v="8"/>
    <x v="5"/>
    <s v="Muebles"/>
    <n v="3"/>
    <n v="254800"/>
    <n v="171800"/>
    <s v="Valentina López"/>
    <s v="Buenos Aires"/>
    <n v="764400"/>
    <n v="515400"/>
    <n v="249000"/>
  </r>
  <r>
    <s v="V0299"/>
    <x v="8"/>
    <x v="3"/>
    <s v="Accesorios"/>
    <n v="4"/>
    <n v="51400"/>
    <n v="25100"/>
    <s v="Valentina López"/>
    <s v="Buenos Aires"/>
    <n v="205600"/>
    <n v="100400"/>
    <n v="105200"/>
  </r>
  <r>
    <s v="V0445"/>
    <x v="9"/>
    <x v="6"/>
    <s v="Accesorios"/>
    <n v="1"/>
    <n v="33400"/>
    <n v="18300"/>
    <s v="Valentina López"/>
    <s v="Centro"/>
    <n v="33400"/>
    <n v="18300"/>
    <n v="15100"/>
  </r>
  <r>
    <s v="V0265"/>
    <x v="9"/>
    <x v="2"/>
    <s v="Accesorios"/>
    <n v="7"/>
    <n v="43500"/>
    <n v="22900"/>
    <s v="Lucía Gómez"/>
    <s v="Buenos Aires"/>
    <n v="304500"/>
    <n v="160300"/>
    <n v="144200"/>
  </r>
  <r>
    <s v="V0239"/>
    <x v="10"/>
    <x v="7"/>
    <s v="Tecnología"/>
    <n v="2"/>
    <n v="605900"/>
    <n v="452700"/>
    <s v="Valentina López"/>
    <s v="Centro"/>
    <n v="1211800"/>
    <n v="905400"/>
    <n v="306400"/>
  </r>
  <r>
    <s v="V0451"/>
    <x v="10"/>
    <x v="7"/>
    <s v="Tecnología"/>
    <n v="5"/>
    <n v="647200"/>
    <n v="481800"/>
    <s v="Valentina López"/>
    <s v="Patagonia"/>
    <n v="3236000"/>
    <n v="2409000"/>
    <n v="827000"/>
  </r>
  <r>
    <s v="V0019"/>
    <x v="11"/>
    <x v="1"/>
    <s v="Tecnología"/>
    <n v="4"/>
    <n v="323500"/>
    <n v="231400"/>
    <s v="Sofía Díaz"/>
    <s v="Centro"/>
    <n v="1294000"/>
    <n v="925600"/>
    <n v="368400"/>
  </r>
  <r>
    <s v="V0098"/>
    <x v="11"/>
    <x v="7"/>
    <s v="Tecnología"/>
    <n v="6"/>
    <n v="706300"/>
    <n v="458800"/>
    <s v="Tomás Ruiz"/>
    <s v="Buenos Aires"/>
    <n v="4237800"/>
    <n v="2752800"/>
    <n v="1485000"/>
  </r>
  <r>
    <s v="V0109"/>
    <x v="12"/>
    <x v="7"/>
    <s v="Tecnología"/>
    <n v="1"/>
    <n v="697300"/>
    <n v="469000"/>
    <s v="Mateo Pérez"/>
    <s v="Buenos Aires"/>
    <n v="697300"/>
    <n v="469000"/>
    <n v="228300"/>
  </r>
  <r>
    <s v="V0269"/>
    <x v="13"/>
    <x v="7"/>
    <s v="Tecnología"/>
    <n v="2"/>
    <n v="687400"/>
    <n v="458700"/>
    <s v="Valentina López"/>
    <s v="Buenos Aires"/>
    <n v="1374800"/>
    <n v="917400"/>
    <n v="457400"/>
  </r>
  <r>
    <s v="V0285"/>
    <x v="13"/>
    <x v="4"/>
    <s v="Muebles"/>
    <n v="2"/>
    <n v="195400"/>
    <n v="110700"/>
    <s v="Valentina López"/>
    <s v="Centro"/>
    <n v="390800"/>
    <n v="221400"/>
    <n v="169400"/>
  </r>
  <r>
    <s v="V0462"/>
    <x v="13"/>
    <x v="8"/>
    <s v="Tecnología"/>
    <n v="1"/>
    <n v="221100"/>
    <n v="151000"/>
    <s v="Sofía Díaz"/>
    <s v="Patagonia"/>
    <n v="221100"/>
    <n v="151000"/>
    <n v="70100"/>
  </r>
  <r>
    <s v="V0463"/>
    <x v="14"/>
    <x v="2"/>
    <s v="Accesorios"/>
    <n v="6"/>
    <n v="42400"/>
    <n v="22900"/>
    <s v="Sofía Díaz"/>
    <s v="Patagonia"/>
    <n v="254400"/>
    <n v="137400"/>
    <n v="117000"/>
  </r>
  <r>
    <s v="V0452"/>
    <x v="14"/>
    <x v="1"/>
    <s v="Tecnología"/>
    <n v="1"/>
    <n v="326700"/>
    <n v="224200"/>
    <s v="Lucía Gómez"/>
    <s v="Buenos Aires"/>
    <n v="326700"/>
    <n v="224200"/>
    <n v="102500"/>
  </r>
  <r>
    <s v="V0021"/>
    <x v="15"/>
    <x v="3"/>
    <s v="Accesorios"/>
    <n v="5"/>
    <n v="46800"/>
    <n v="25400"/>
    <s v="Tomás Ruiz"/>
    <s v="Buenos Aires"/>
    <n v="234000"/>
    <n v="127000"/>
    <n v="107000"/>
  </r>
  <r>
    <s v="V0266"/>
    <x v="15"/>
    <x v="8"/>
    <s v="Tecnología"/>
    <n v="4"/>
    <n v="209800"/>
    <n v="148100"/>
    <s v="Tomás Ruiz"/>
    <s v="Buenos Aires"/>
    <n v="839200"/>
    <n v="592400"/>
    <n v="246800"/>
  </r>
  <r>
    <s v="V0026"/>
    <x v="15"/>
    <x v="8"/>
    <s v="Tecnología"/>
    <n v="3"/>
    <n v="227100"/>
    <n v="145600"/>
    <s v="Tomás Ruiz"/>
    <s v="Buenos Aires"/>
    <n v="681300"/>
    <n v="436800"/>
    <n v="244500"/>
  </r>
  <r>
    <s v="V0135"/>
    <x v="16"/>
    <x v="4"/>
    <s v="Muebles"/>
    <n v="4"/>
    <n v="177700"/>
    <n v="116400"/>
    <s v="Tomás Ruiz"/>
    <s v="Buenos Aires"/>
    <n v="710800"/>
    <n v="465600"/>
    <n v="245200"/>
  </r>
  <r>
    <s v="V0350"/>
    <x v="17"/>
    <x v="7"/>
    <s v="Tecnología"/>
    <n v="1"/>
    <n v="666500"/>
    <n v="475900"/>
    <s v="Sofía Díaz"/>
    <s v="Patagonia"/>
    <n v="666500"/>
    <n v="475900"/>
    <n v="190600"/>
  </r>
  <r>
    <s v="V0469"/>
    <x v="17"/>
    <x v="8"/>
    <s v="Tecnología"/>
    <n v="2"/>
    <n v="229000"/>
    <n v="147100"/>
    <s v="Mateo Pérez"/>
    <s v="Noroeste"/>
    <n v="458000"/>
    <n v="294200"/>
    <n v="163800"/>
  </r>
  <r>
    <s v="V0410"/>
    <x v="17"/>
    <x v="9"/>
    <s v="Muebles"/>
    <n v="1"/>
    <n v="30800"/>
    <n v="13500"/>
    <s v="Sofía Díaz"/>
    <s v="Buenos Aires"/>
    <n v="30800"/>
    <n v="13500"/>
    <n v="17300"/>
  </r>
  <r>
    <s v="V0455"/>
    <x v="18"/>
    <x v="7"/>
    <s v="Tecnología"/>
    <n v="3"/>
    <n v="624400"/>
    <n v="482800"/>
    <s v="Sofía Díaz"/>
    <s v="Patagonia"/>
    <n v="1873200"/>
    <n v="1448400"/>
    <n v="424800"/>
  </r>
  <r>
    <s v="V0361"/>
    <x v="19"/>
    <x v="2"/>
    <s v="Accesorios"/>
    <n v="3"/>
    <n v="45200"/>
    <n v="23400"/>
    <s v="Tomás Ruiz"/>
    <s v="Noroeste"/>
    <n v="135600"/>
    <n v="70200"/>
    <n v="65400"/>
  </r>
  <r>
    <s v="V0035"/>
    <x v="19"/>
    <x v="0"/>
    <s v="Accesorios"/>
    <n v="1"/>
    <n v="22700"/>
    <n v="10300"/>
    <s v="Valentina López"/>
    <s v="Patagonia"/>
    <n v="22700"/>
    <n v="10300"/>
    <n v="12400"/>
  </r>
  <r>
    <s v="V0022"/>
    <x v="20"/>
    <x v="6"/>
    <s v="Accesorios"/>
    <n v="2"/>
    <n v="36500"/>
    <n v="18600"/>
    <s v="Tomás Ruiz"/>
    <s v="Buenos Aires"/>
    <n v="73000"/>
    <n v="37200"/>
    <n v="35800"/>
  </r>
  <r>
    <s v="V0214"/>
    <x v="21"/>
    <x v="3"/>
    <s v="Accesorios"/>
    <n v="5"/>
    <n v="51300"/>
    <n v="25500"/>
    <s v="Lucía Gómez"/>
    <s v="Cuyo"/>
    <n v="256500"/>
    <n v="127500"/>
    <n v="129000"/>
  </r>
  <r>
    <s v="V0055"/>
    <x v="21"/>
    <x v="3"/>
    <s v="Accesorios"/>
    <n v="2"/>
    <n v="46400"/>
    <n v="26200"/>
    <s v="Mateo Pérez"/>
    <s v="Patagonia"/>
    <n v="92800"/>
    <n v="52400"/>
    <n v="40400"/>
  </r>
  <r>
    <s v="V0252"/>
    <x v="21"/>
    <x v="1"/>
    <s v="Tecnología"/>
    <n v="5"/>
    <n v="318000"/>
    <n v="233400"/>
    <s v="Mateo Pérez"/>
    <s v="Buenos Aires"/>
    <n v="1590000"/>
    <n v="1167000"/>
    <n v="423000"/>
  </r>
  <r>
    <s v="V0027"/>
    <x v="22"/>
    <x v="0"/>
    <s v="Accesorios"/>
    <n v="1"/>
    <n v="23000"/>
    <n v="10100"/>
    <s v="Valentina López"/>
    <s v="Buenos Aires"/>
    <n v="23000"/>
    <n v="10100"/>
    <n v="12900"/>
  </r>
  <r>
    <s v="V0095"/>
    <x v="23"/>
    <x v="6"/>
    <s v="Accesorios"/>
    <n v="2"/>
    <n v="32500"/>
    <n v="17600"/>
    <s v="Tomás Ruiz"/>
    <s v="Centro"/>
    <n v="65000"/>
    <n v="35200"/>
    <n v="29800"/>
  </r>
  <r>
    <s v="V0255"/>
    <x v="24"/>
    <x v="8"/>
    <s v="Tecnología"/>
    <n v="3"/>
    <n v="219400"/>
    <n v="152400"/>
    <s v="Tomás Ruiz"/>
    <s v="Centro"/>
    <n v="658200"/>
    <n v="457200"/>
    <n v="201000"/>
  </r>
  <r>
    <s v="V0327"/>
    <x v="24"/>
    <x v="3"/>
    <s v="Accesorios"/>
    <n v="7"/>
    <n v="51900"/>
    <n v="26600"/>
    <s v="Lucía Gómez"/>
    <s v="Noroeste"/>
    <n v="363300"/>
    <n v="186200"/>
    <n v="177100"/>
  </r>
  <r>
    <s v="V0360"/>
    <x v="24"/>
    <x v="4"/>
    <s v="Muebles"/>
    <n v="6"/>
    <n v="176600"/>
    <n v="114500"/>
    <s v="Tomás Ruiz"/>
    <s v="Buenos Aires"/>
    <n v="1059600"/>
    <n v="687000"/>
    <n v="372600"/>
  </r>
  <r>
    <s v="V0121"/>
    <x v="24"/>
    <x v="4"/>
    <s v="Muebles"/>
    <n v="1"/>
    <n v="187400"/>
    <n v="113500"/>
    <s v="Valentina López"/>
    <s v="Patagonia"/>
    <n v="187400"/>
    <n v="113500"/>
    <n v="73900"/>
  </r>
  <r>
    <s v="V0358"/>
    <x v="25"/>
    <x v="3"/>
    <s v="Accesorios"/>
    <n v="4"/>
    <n v="50500"/>
    <n v="26700"/>
    <s v="Tomás Ruiz"/>
    <s v="Centro"/>
    <n v="202000"/>
    <n v="106800"/>
    <n v="95200"/>
  </r>
  <r>
    <s v="V0449"/>
    <x v="25"/>
    <x v="7"/>
    <s v="Tecnología"/>
    <n v="3"/>
    <n v="691500"/>
    <n v="476200"/>
    <s v="Lucía Gómez"/>
    <s v="Cuyo"/>
    <n v="2074500"/>
    <n v="1428600"/>
    <n v="645900"/>
  </r>
  <r>
    <s v="V0288"/>
    <x v="25"/>
    <x v="6"/>
    <s v="Accesorios"/>
    <n v="4"/>
    <n v="38400"/>
    <n v="17600"/>
    <s v="Valentina López"/>
    <s v="Noroeste"/>
    <n v="153600"/>
    <n v="70400"/>
    <n v="83200"/>
  </r>
  <r>
    <s v="V0435"/>
    <x v="25"/>
    <x v="7"/>
    <s v="Tecnología"/>
    <n v="2"/>
    <n v="703600"/>
    <n v="484200"/>
    <s v="Sofía Díaz"/>
    <s v="Buenos Aires"/>
    <n v="1407200"/>
    <n v="968400"/>
    <n v="438800"/>
  </r>
  <r>
    <s v="V0165"/>
    <x v="26"/>
    <x v="0"/>
    <s v="Accesorios"/>
    <n v="3"/>
    <n v="20400"/>
    <n v="9900"/>
    <s v="Valentina López"/>
    <s v="Noroeste"/>
    <n v="61200"/>
    <n v="29700"/>
    <n v="31500"/>
  </r>
  <r>
    <s v="V0226"/>
    <x v="27"/>
    <x v="2"/>
    <s v="Accesorios"/>
    <n v="7"/>
    <n v="45700"/>
    <n v="23700"/>
    <s v="Valentina López"/>
    <s v="Centro"/>
    <n v="319900"/>
    <n v="165900"/>
    <n v="154000"/>
  </r>
  <r>
    <s v="V0271"/>
    <x v="27"/>
    <x v="7"/>
    <s v="Tecnología"/>
    <n v="3"/>
    <n v="680900"/>
    <n v="474200"/>
    <s v="Mateo Pérez"/>
    <s v="Centro"/>
    <n v="2042700"/>
    <n v="1422600"/>
    <n v="620100"/>
  </r>
  <r>
    <s v="V0483"/>
    <x v="28"/>
    <x v="4"/>
    <s v="Muebles"/>
    <n v="6"/>
    <n v="172900"/>
    <n v="115000"/>
    <s v="Mateo Pérez"/>
    <s v="Buenos Aires"/>
    <n v="1037400"/>
    <n v="690000"/>
    <n v="347400"/>
  </r>
  <r>
    <s v="V0465"/>
    <x v="28"/>
    <x v="4"/>
    <s v="Muebles"/>
    <n v="6"/>
    <n v="176700"/>
    <n v="117800"/>
    <s v="Lucía Gómez"/>
    <s v="Noroeste"/>
    <n v="1060200"/>
    <n v="706800"/>
    <n v="353400"/>
  </r>
  <r>
    <s v="V0488"/>
    <x v="28"/>
    <x v="8"/>
    <s v="Tecnología"/>
    <n v="2"/>
    <n v="231700"/>
    <n v="153400"/>
    <s v="Sofía Díaz"/>
    <s v="Centro"/>
    <n v="463400"/>
    <n v="306800"/>
    <n v="156600"/>
  </r>
  <r>
    <s v="V0215"/>
    <x v="29"/>
    <x v="3"/>
    <s v="Accesorios"/>
    <n v="7"/>
    <n v="52500"/>
    <n v="26600"/>
    <s v="Mateo Pérez"/>
    <s v="Cuyo"/>
    <n v="367500"/>
    <n v="186200"/>
    <n v="181300"/>
  </r>
  <r>
    <s v="V0320"/>
    <x v="29"/>
    <x v="2"/>
    <s v="Accesorios"/>
    <n v="3"/>
    <n v="39200"/>
    <n v="23200"/>
    <s v="Lucía Gómez"/>
    <s v="Buenos Aires"/>
    <n v="117600"/>
    <n v="69600"/>
    <n v="48000"/>
  </r>
  <r>
    <s v="V0020"/>
    <x v="30"/>
    <x v="4"/>
    <s v="Muebles"/>
    <n v="7"/>
    <n v="168100"/>
    <n v="117400"/>
    <s v="Mateo Pérez"/>
    <s v="Patagonia"/>
    <n v="1176700"/>
    <n v="821800"/>
    <n v="354900"/>
  </r>
  <r>
    <s v="V0156"/>
    <x v="31"/>
    <x v="5"/>
    <s v="Muebles"/>
    <n v="6"/>
    <n v="251600"/>
    <n v="175100"/>
    <s v="Sofía Díaz"/>
    <s v="Patagonia"/>
    <n v="1509600"/>
    <n v="1050600"/>
    <n v="459000"/>
  </r>
  <r>
    <s v="V0342"/>
    <x v="31"/>
    <x v="2"/>
    <s v="Accesorios"/>
    <n v="6"/>
    <n v="41100"/>
    <n v="23400"/>
    <s v="Sofía Díaz"/>
    <s v="Patagonia"/>
    <n v="246600"/>
    <n v="140400"/>
    <n v="106200"/>
  </r>
  <r>
    <s v="V0050"/>
    <x v="31"/>
    <x v="8"/>
    <s v="Tecnología"/>
    <n v="2"/>
    <n v="232500"/>
    <n v="146800"/>
    <s v="Lucía Gómez"/>
    <s v="Buenos Aires"/>
    <n v="465000"/>
    <n v="293600"/>
    <n v="171400"/>
  </r>
  <r>
    <s v="V0237"/>
    <x v="32"/>
    <x v="0"/>
    <s v="Accesorios"/>
    <n v="1"/>
    <n v="21000"/>
    <n v="10300"/>
    <s v="Mateo Pérez"/>
    <s v="Centro"/>
    <n v="21000"/>
    <n v="10300"/>
    <n v="10700"/>
  </r>
  <r>
    <s v="V0005"/>
    <x v="33"/>
    <x v="7"/>
    <s v="Tecnología"/>
    <n v="2"/>
    <n v="705900"/>
    <n v="463700"/>
    <s v="Lucía Gómez"/>
    <s v="Noroeste"/>
    <n v="1411800"/>
    <n v="927400"/>
    <n v="484400"/>
  </r>
  <r>
    <s v="V0357"/>
    <x v="34"/>
    <x v="3"/>
    <s v="Accesorios"/>
    <n v="5"/>
    <n v="49300"/>
    <n v="25400"/>
    <s v="Mateo Pérez"/>
    <s v="Buenos Aires"/>
    <n v="246500"/>
    <n v="127000"/>
    <n v="119500"/>
  </r>
  <r>
    <s v="V0341"/>
    <x v="34"/>
    <x v="8"/>
    <s v="Tecnología"/>
    <n v="1"/>
    <n v="230800"/>
    <n v="151000"/>
    <s v="Mateo Pérez"/>
    <s v="Buenos Aires"/>
    <n v="230800"/>
    <n v="151000"/>
    <n v="79800"/>
  </r>
  <r>
    <s v="V0444"/>
    <x v="35"/>
    <x v="8"/>
    <s v="Tecnología"/>
    <n v="3"/>
    <n v="210700"/>
    <n v="153900"/>
    <s v="Sofía Díaz"/>
    <s v="Cuyo"/>
    <n v="632100"/>
    <n v="461700"/>
    <n v="170400"/>
  </r>
  <r>
    <s v="V0089"/>
    <x v="36"/>
    <x v="8"/>
    <s v="Tecnología"/>
    <n v="1"/>
    <n v="230600"/>
    <n v="144200"/>
    <s v="Lucía Gómez"/>
    <s v="Buenos Aires"/>
    <n v="230600"/>
    <n v="144200"/>
    <n v="86400"/>
  </r>
  <r>
    <s v="V0186"/>
    <x v="36"/>
    <x v="5"/>
    <s v="Muebles"/>
    <n v="3"/>
    <n v="240700"/>
    <n v="171900"/>
    <s v="Mateo Pérez"/>
    <s v="Buenos Aires"/>
    <n v="722100"/>
    <n v="515700"/>
    <n v="206400"/>
  </r>
  <r>
    <s v="V0063"/>
    <x v="37"/>
    <x v="4"/>
    <s v="Muebles"/>
    <n v="7"/>
    <n v="191500"/>
    <n v="112900"/>
    <s v="Tomás Ruiz"/>
    <s v="Buenos Aires"/>
    <n v="1340500"/>
    <n v="790300"/>
    <n v="550200"/>
  </r>
  <r>
    <s v="V0103"/>
    <x v="38"/>
    <x v="6"/>
    <s v="Accesorios"/>
    <n v="3"/>
    <n v="38300"/>
    <n v="18100"/>
    <s v="Lucía Gómez"/>
    <s v="Buenos Aires"/>
    <n v="114900"/>
    <n v="54300"/>
    <n v="60600"/>
  </r>
  <r>
    <s v="V0480"/>
    <x v="39"/>
    <x v="0"/>
    <s v="Accesorios"/>
    <n v="5"/>
    <n v="22800"/>
    <n v="10400"/>
    <s v="Tomás Ruiz"/>
    <s v="Patagonia"/>
    <n v="114000"/>
    <n v="52000"/>
    <n v="62000"/>
  </r>
  <r>
    <s v="V0228"/>
    <x v="40"/>
    <x v="0"/>
    <s v="Accesorios"/>
    <n v="4"/>
    <n v="22600"/>
    <n v="10200"/>
    <s v="Mateo Pérez"/>
    <s v="Centro"/>
    <n v="90400"/>
    <n v="40800"/>
    <n v="49600"/>
  </r>
  <r>
    <s v="V0046"/>
    <x v="40"/>
    <x v="3"/>
    <s v="Accesorios"/>
    <n v="5"/>
    <n v="49100"/>
    <n v="25300"/>
    <s v="Sofía Díaz"/>
    <s v="Buenos Aires"/>
    <n v="245500"/>
    <n v="126500"/>
    <n v="119000"/>
  </r>
  <r>
    <s v="V0405"/>
    <x v="40"/>
    <x v="9"/>
    <s v="Muebles"/>
    <n v="2"/>
    <n v="25900"/>
    <n v="14100"/>
    <s v="Valentina López"/>
    <s v="Buenos Aires"/>
    <n v="51800"/>
    <n v="28200"/>
    <n v="23600"/>
  </r>
  <r>
    <s v="V0076"/>
    <x v="41"/>
    <x v="6"/>
    <s v="Accesorios"/>
    <n v="4"/>
    <n v="32300"/>
    <n v="18500"/>
    <s v="Sofía Díaz"/>
    <s v="Buenos Aires"/>
    <n v="129200"/>
    <n v="74000"/>
    <n v="55200"/>
  </r>
  <r>
    <s v="V0486"/>
    <x v="41"/>
    <x v="0"/>
    <s v="Accesorios"/>
    <n v="6"/>
    <n v="23400"/>
    <n v="9900"/>
    <s v="Mateo Pérez"/>
    <s v="Patagonia"/>
    <n v="140400"/>
    <n v="59400"/>
    <n v="81000"/>
  </r>
  <r>
    <s v="V0078"/>
    <x v="42"/>
    <x v="5"/>
    <s v="Muebles"/>
    <n v="1"/>
    <n v="260000"/>
    <n v="174200"/>
    <s v="Mateo Pérez"/>
    <s v="Buenos Aires"/>
    <n v="260000"/>
    <n v="174200"/>
    <n v="85800"/>
  </r>
  <r>
    <s v="V0192"/>
    <x v="43"/>
    <x v="6"/>
    <s v="Accesorios"/>
    <n v="5"/>
    <n v="38000"/>
    <n v="18000"/>
    <s v="Mateo Pérez"/>
    <s v="Buenos Aires"/>
    <n v="190000"/>
    <n v="90000"/>
    <n v="100000"/>
  </r>
  <r>
    <s v="V0432"/>
    <x v="43"/>
    <x v="3"/>
    <s v="Accesorios"/>
    <n v="6"/>
    <n v="50800"/>
    <n v="25500"/>
    <s v="Lucía Gómez"/>
    <s v="Noroeste"/>
    <n v="304800"/>
    <n v="153000"/>
    <n v="151800"/>
  </r>
  <r>
    <s v="V0032"/>
    <x v="44"/>
    <x v="9"/>
    <s v="Muebles"/>
    <n v="7"/>
    <n v="27000"/>
    <n v="14400"/>
    <s v="Lucía Gómez"/>
    <s v="Centro"/>
    <n v="189000"/>
    <n v="100800"/>
    <n v="88200"/>
  </r>
  <r>
    <s v="V0404"/>
    <x v="45"/>
    <x v="7"/>
    <s v="Tecnología"/>
    <n v="3"/>
    <n v="628700"/>
    <n v="468600"/>
    <s v="Mateo Pérez"/>
    <s v="Patagonia"/>
    <n v="1886100"/>
    <n v="1405800"/>
    <n v="480300"/>
  </r>
  <r>
    <s v="V0173"/>
    <x v="45"/>
    <x v="6"/>
    <s v="Accesorios"/>
    <n v="6"/>
    <n v="34400"/>
    <n v="17300"/>
    <s v="Tomás Ruiz"/>
    <s v="Buenos Aires"/>
    <n v="206400"/>
    <n v="103800"/>
    <n v="102600"/>
  </r>
  <r>
    <s v="V0105"/>
    <x v="46"/>
    <x v="3"/>
    <s v="Accesorios"/>
    <n v="7"/>
    <n v="49500"/>
    <n v="26200"/>
    <s v="Mateo Pérez"/>
    <s v="Buenos Aires"/>
    <n v="346500"/>
    <n v="183400"/>
    <n v="163100"/>
  </r>
  <r>
    <s v="V0431"/>
    <x v="47"/>
    <x v="2"/>
    <s v="Accesorios"/>
    <n v="4"/>
    <n v="44800"/>
    <n v="23000"/>
    <s v="Sofía Díaz"/>
    <s v="Noroeste"/>
    <n v="179200"/>
    <n v="92000"/>
    <n v="87200"/>
  </r>
  <r>
    <s v="V0325"/>
    <x v="48"/>
    <x v="1"/>
    <s v="Tecnología"/>
    <n v="7"/>
    <n v="316200"/>
    <n v="226700"/>
    <s v="Valentina López"/>
    <s v="Buenos Aires"/>
    <n v="2213400"/>
    <n v="1586900"/>
    <n v="626500"/>
  </r>
  <r>
    <s v="V0344"/>
    <x v="48"/>
    <x v="4"/>
    <s v="Muebles"/>
    <n v="6"/>
    <n v="187100"/>
    <n v="114400"/>
    <s v="Sofía Díaz"/>
    <s v="Noroeste"/>
    <n v="1122600"/>
    <n v="686400"/>
    <n v="436200"/>
  </r>
  <r>
    <s v="V0177"/>
    <x v="49"/>
    <x v="0"/>
    <s v="Accesorios"/>
    <n v="3"/>
    <n v="24000"/>
    <n v="10100"/>
    <s v="Sofía Díaz"/>
    <s v="Buenos Aires"/>
    <n v="72000"/>
    <n v="30300"/>
    <n v="41700"/>
  </r>
  <r>
    <s v="V0112"/>
    <x v="50"/>
    <x v="8"/>
    <s v="Tecnología"/>
    <n v="5"/>
    <n v="217000"/>
    <n v="146100"/>
    <s v="Valentina López"/>
    <s v="Centro"/>
    <n v="1085000"/>
    <n v="730500"/>
    <n v="354500"/>
  </r>
  <r>
    <s v="V0114"/>
    <x v="50"/>
    <x v="4"/>
    <s v="Muebles"/>
    <n v="1"/>
    <n v="196100"/>
    <n v="117200"/>
    <s v="Tomás Ruiz"/>
    <s v="Centro"/>
    <n v="196100"/>
    <n v="117200"/>
    <n v="78900"/>
  </r>
  <r>
    <s v="V0363"/>
    <x v="51"/>
    <x v="7"/>
    <s v="Tecnología"/>
    <n v="3"/>
    <n v="603900"/>
    <n v="456600"/>
    <s v="Lucía Gómez"/>
    <s v="Buenos Aires"/>
    <n v="1811700"/>
    <n v="1369800"/>
    <n v="441900"/>
  </r>
  <r>
    <s v="V0085"/>
    <x v="51"/>
    <x v="7"/>
    <s v="Tecnología"/>
    <n v="3"/>
    <n v="709500"/>
    <n v="469800"/>
    <s v="Tomás Ruiz"/>
    <s v="Noroeste"/>
    <n v="2128500"/>
    <n v="1409400"/>
    <n v="719100"/>
  </r>
  <r>
    <s v="V0473"/>
    <x v="52"/>
    <x v="7"/>
    <s v="Tecnología"/>
    <n v="3"/>
    <n v="617400"/>
    <n v="482000"/>
    <s v="Mateo Pérez"/>
    <s v="Centro"/>
    <n v="1852200"/>
    <n v="1446000"/>
    <n v="406200"/>
  </r>
  <r>
    <s v="V0072"/>
    <x v="53"/>
    <x v="0"/>
    <s v="Accesorios"/>
    <n v="6"/>
    <n v="20300"/>
    <n v="9900"/>
    <s v="Sofía Díaz"/>
    <s v="Buenos Aires"/>
    <n v="121800"/>
    <n v="59400"/>
    <n v="62400"/>
  </r>
  <r>
    <s v="V0394"/>
    <x v="54"/>
    <x v="5"/>
    <s v="Muebles"/>
    <n v="1"/>
    <n v="256900"/>
    <n v="168200"/>
    <s v="Sofía Díaz"/>
    <s v="Buenos Aires"/>
    <n v="256900"/>
    <n v="168200"/>
    <n v="88700"/>
  </r>
  <r>
    <s v="V0354"/>
    <x v="55"/>
    <x v="4"/>
    <s v="Muebles"/>
    <n v="1"/>
    <n v="168900"/>
    <n v="112900"/>
    <s v="Mateo Pérez"/>
    <s v="Buenos Aires"/>
    <n v="168900"/>
    <n v="112900"/>
    <n v="56000"/>
  </r>
  <r>
    <s v="V0256"/>
    <x v="56"/>
    <x v="3"/>
    <s v="Accesorios"/>
    <n v="3"/>
    <n v="52700"/>
    <n v="25900"/>
    <s v="Tomás Ruiz"/>
    <s v="Cuyo"/>
    <n v="158100"/>
    <n v="77700"/>
    <n v="80400"/>
  </r>
  <r>
    <s v="V0111"/>
    <x v="57"/>
    <x v="0"/>
    <s v="Accesorios"/>
    <n v="2"/>
    <n v="24100"/>
    <n v="10200"/>
    <s v="Tomás Ruiz"/>
    <s v="Buenos Aires"/>
    <n v="48200"/>
    <n v="20400"/>
    <n v="27800"/>
  </r>
  <r>
    <s v="V0478"/>
    <x v="57"/>
    <x v="4"/>
    <s v="Muebles"/>
    <n v="1"/>
    <n v="180800"/>
    <n v="118600"/>
    <s v="Lucía Gómez"/>
    <s v="Buenos Aires"/>
    <n v="180800"/>
    <n v="118600"/>
    <n v="62200"/>
  </r>
  <r>
    <s v="V0385"/>
    <x v="58"/>
    <x v="6"/>
    <s v="Accesorios"/>
    <n v="2"/>
    <n v="33600"/>
    <n v="17500"/>
    <s v="Valentina López"/>
    <s v="Buenos Aires"/>
    <n v="67200"/>
    <n v="35000"/>
    <n v="32200"/>
  </r>
  <r>
    <s v="V0287"/>
    <x v="58"/>
    <x v="7"/>
    <s v="Tecnología"/>
    <n v="1"/>
    <n v="607400"/>
    <n v="461100"/>
    <s v="Valentina López"/>
    <s v="Noroeste"/>
    <n v="607400"/>
    <n v="461100"/>
    <n v="146300"/>
  </r>
  <r>
    <s v="V0290"/>
    <x v="58"/>
    <x v="7"/>
    <s v="Tecnología"/>
    <n v="5"/>
    <n v="656300"/>
    <n v="473000"/>
    <s v="Mateo Pérez"/>
    <s v="Noroeste"/>
    <n v="3281500"/>
    <n v="2365000"/>
    <n v="916500"/>
  </r>
  <r>
    <s v="V0307"/>
    <x v="59"/>
    <x v="6"/>
    <s v="Accesorios"/>
    <n v="4"/>
    <n v="37800"/>
    <n v="18200"/>
    <s v="Lucía Gómez"/>
    <s v="Centro"/>
    <n v="151200"/>
    <n v="72800"/>
    <n v="78400"/>
  </r>
  <r>
    <s v="V0047"/>
    <x v="60"/>
    <x v="6"/>
    <s v="Accesorios"/>
    <n v="6"/>
    <n v="38100"/>
    <n v="17500"/>
    <s v="Sofía Díaz"/>
    <s v="Buenos Aires"/>
    <n v="228600"/>
    <n v="105000"/>
    <n v="123600"/>
  </r>
  <r>
    <s v="V0264"/>
    <x v="60"/>
    <x v="8"/>
    <s v="Tecnología"/>
    <n v="5"/>
    <n v="211000"/>
    <n v="154300"/>
    <s v="Lucía Gómez"/>
    <s v="Patagonia"/>
    <n v="1055000"/>
    <n v="771500"/>
    <n v="283500"/>
  </r>
  <r>
    <s v="V0401"/>
    <x v="61"/>
    <x v="6"/>
    <s v="Accesorios"/>
    <n v="4"/>
    <n v="35300"/>
    <n v="18200"/>
    <s v="Sofía Díaz"/>
    <s v="Buenos Aires"/>
    <n v="141200"/>
    <n v="72800"/>
    <n v="68400"/>
  </r>
  <r>
    <s v="V0123"/>
    <x v="61"/>
    <x v="7"/>
    <s v="Tecnología"/>
    <n v="1"/>
    <n v="686200"/>
    <n v="461900"/>
    <s v="Tomás Ruiz"/>
    <s v="Noroeste"/>
    <n v="686200"/>
    <n v="461900"/>
    <n v="224300"/>
  </r>
  <r>
    <s v="V0250"/>
    <x v="61"/>
    <x v="0"/>
    <s v="Accesorios"/>
    <n v="7"/>
    <n v="21600"/>
    <n v="10000"/>
    <s v="Sofía Díaz"/>
    <s v="Cuyo"/>
    <n v="151200"/>
    <n v="70000"/>
    <n v="81200"/>
  </r>
  <r>
    <s v="V0106"/>
    <x v="62"/>
    <x v="3"/>
    <s v="Accesorios"/>
    <n v="2"/>
    <n v="47800"/>
    <n v="26100"/>
    <s v="Tomás Ruiz"/>
    <s v="Centro"/>
    <n v="95600"/>
    <n v="52200"/>
    <n v="43400"/>
  </r>
  <r>
    <s v="V0453"/>
    <x v="62"/>
    <x v="3"/>
    <s v="Accesorios"/>
    <n v="4"/>
    <n v="52200"/>
    <n v="25800"/>
    <s v="Sofía Díaz"/>
    <s v="Cuyo"/>
    <n v="208800"/>
    <n v="103200"/>
    <n v="105600"/>
  </r>
  <r>
    <s v="V0013"/>
    <x v="62"/>
    <x v="5"/>
    <s v="Muebles"/>
    <n v="3"/>
    <n v="263600"/>
    <n v="178000"/>
    <s v="Valentina López"/>
    <s v="Patagonia"/>
    <n v="790800"/>
    <n v="534000"/>
    <n v="256800"/>
  </r>
  <r>
    <s v="V0412"/>
    <x v="63"/>
    <x v="5"/>
    <s v="Muebles"/>
    <n v="1"/>
    <n v="277900"/>
    <n v="175600"/>
    <s v="Valentina López"/>
    <s v="Noroeste"/>
    <n v="277900"/>
    <n v="175600"/>
    <n v="102300"/>
  </r>
  <r>
    <s v="V0306"/>
    <x v="64"/>
    <x v="0"/>
    <s v="Accesorios"/>
    <n v="1"/>
    <n v="20400"/>
    <n v="10000"/>
    <s v="Mateo Pérez"/>
    <s v="Patagonia"/>
    <n v="20400"/>
    <n v="10000"/>
    <n v="10400"/>
  </r>
  <r>
    <s v="V0424"/>
    <x v="65"/>
    <x v="7"/>
    <s v="Tecnología"/>
    <n v="3"/>
    <n v="645600"/>
    <n v="486600"/>
    <s v="Mateo Pérez"/>
    <s v="Noroeste"/>
    <n v="1936800"/>
    <n v="1459800"/>
    <n v="477000"/>
  </r>
  <r>
    <s v="V0178"/>
    <x v="66"/>
    <x v="9"/>
    <s v="Muebles"/>
    <n v="7"/>
    <n v="29300"/>
    <n v="14200"/>
    <s v="Tomás Ruiz"/>
    <s v="Noroeste"/>
    <n v="205100"/>
    <n v="99400"/>
    <n v="105700"/>
  </r>
  <r>
    <s v="V0296"/>
    <x v="67"/>
    <x v="2"/>
    <s v="Accesorios"/>
    <n v="7"/>
    <n v="39200"/>
    <n v="23400"/>
    <s v="Lucía Gómez"/>
    <s v="Buenos Aires"/>
    <n v="274400"/>
    <n v="163800"/>
    <n v="110600"/>
  </r>
  <r>
    <s v="V0458"/>
    <x v="68"/>
    <x v="0"/>
    <s v="Accesorios"/>
    <n v="5"/>
    <n v="23400"/>
    <n v="10300"/>
    <s v="Sofía Díaz"/>
    <s v="Patagonia"/>
    <n v="117000"/>
    <n v="51500"/>
    <n v="65500"/>
  </r>
  <r>
    <s v="V0260"/>
    <x v="69"/>
    <x v="4"/>
    <s v="Muebles"/>
    <n v="3"/>
    <n v="193800"/>
    <n v="116200"/>
    <s v="Lucía Gómez"/>
    <s v="Buenos Aires"/>
    <n v="581400"/>
    <n v="348600"/>
    <n v="232800"/>
  </r>
  <r>
    <s v="V0428"/>
    <x v="69"/>
    <x v="1"/>
    <s v="Tecnología"/>
    <n v="2"/>
    <n v="293200"/>
    <n v="227100"/>
    <s v="Tomás Ruiz"/>
    <s v="Patagonia"/>
    <n v="586400"/>
    <n v="454200"/>
    <n v="132200"/>
  </r>
  <r>
    <s v="V0011"/>
    <x v="70"/>
    <x v="6"/>
    <s v="Accesorios"/>
    <n v="2"/>
    <n v="37100"/>
    <n v="18200"/>
    <s v="Mateo Pérez"/>
    <s v="Buenos Aires"/>
    <n v="74200"/>
    <n v="36400"/>
    <n v="37800"/>
  </r>
  <r>
    <s v="V0122"/>
    <x v="70"/>
    <x v="5"/>
    <s v="Muebles"/>
    <n v="7"/>
    <n v="242500"/>
    <n v="174700"/>
    <s v="Sofía Díaz"/>
    <s v="Buenos Aires"/>
    <n v="1697500"/>
    <n v="1222900"/>
    <n v="474600"/>
  </r>
  <r>
    <s v="V0490"/>
    <x v="71"/>
    <x v="4"/>
    <s v="Muebles"/>
    <n v="4"/>
    <n v="194500"/>
    <n v="110400"/>
    <s v="Mateo Pérez"/>
    <s v="Buenos Aires"/>
    <n v="778000"/>
    <n v="441600"/>
    <n v="336400"/>
  </r>
  <r>
    <s v="V0321"/>
    <x v="71"/>
    <x v="2"/>
    <s v="Accesorios"/>
    <n v="6"/>
    <n v="44400"/>
    <n v="22700"/>
    <s v="Lucía Gómez"/>
    <s v="Centro"/>
    <n v="266400"/>
    <n v="136200"/>
    <n v="130200"/>
  </r>
  <r>
    <s v="V0191"/>
    <x v="72"/>
    <x v="2"/>
    <s v="Accesorios"/>
    <n v="7"/>
    <n v="44400"/>
    <n v="23900"/>
    <s v="Sofía Díaz"/>
    <s v="Buenos Aires"/>
    <n v="310800"/>
    <n v="167300"/>
    <n v="143500"/>
  </r>
  <r>
    <s v="V0028"/>
    <x v="73"/>
    <x v="7"/>
    <s v="Tecnología"/>
    <n v="1"/>
    <n v="677900"/>
    <n v="454000"/>
    <s v="Sofía Díaz"/>
    <s v="Noroeste"/>
    <n v="677900"/>
    <n v="454000"/>
    <n v="223900"/>
  </r>
  <r>
    <s v="V0381"/>
    <x v="74"/>
    <x v="0"/>
    <s v="Accesorios"/>
    <n v="2"/>
    <n v="21900"/>
    <n v="9700"/>
    <s v="Sofía Díaz"/>
    <s v="Noroeste"/>
    <n v="43800"/>
    <n v="19400"/>
    <n v="24400"/>
  </r>
  <r>
    <s v="V0208"/>
    <x v="74"/>
    <x v="5"/>
    <s v="Muebles"/>
    <n v="2"/>
    <n v="251900"/>
    <n v="180500"/>
    <s v="Mateo Pérez"/>
    <s v="Patagonia"/>
    <n v="503800"/>
    <n v="361000"/>
    <n v="142800"/>
  </r>
  <r>
    <s v="V0409"/>
    <x v="74"/>
    <x v="7"/>
    <s v="Tecnología"/>
    <n v="7"/>
    <n v="609700"/>
    <n v="475800"/>
    <s v="Lucía Gómez"/>
    <s v="Buenos Aires"/>
    <n v="4267900"/>
    <n v="3330600"/>
    <n v="937300"/>
  </r>
  <r>
    <s v="V0229"/>
    <x v="75"/>
    <x v="4"/>
    <s v="Muebles"/>
    <n v="1"/>
    <n v="179900"/>
    <n v="111800"/>
    <s v="Valentina López"/>
    <s v="Centro"/>
    <n v="179900"/>
    <n v="111800"/>
    <n v="68100"/>
  </r>
  <r>
    <s v="V0482"/>
    <x v="75"/>
    <x v="8"/>
    <s v="Tecnología"/>
    <n v="1"/>
    <n v="207900"/>
    <n v="154300"/>
    <s v="Lucía Gómez"/>
    <s v="Noroeste"/>
    <n v="207900"/>
    <n v="154300"/>
    <n v="53600"/>
  </r>
  <r>
    <s v="V0113"/>
    <x v="76"/>
    <x v="6"/>
    <s v="Accesorios"/>
    <n v="5"/>
    <n v="33600"/>
    <n v="17900"/>
    <s v="Valentina López"/>
    <s v="Buenos Aires"/>
    <n v="168000"/>
    <n v="89500"/>
    <n v="78500"/>
  </r>
  <r>
    <s v="V0450"/>
    <x v="77"/>
    <x v="4"/>
    <s v="Muebles"/>
    <n v="7"/>
    <n v="193000"/>
    <n v="119500"/>
    <s v="Valentina López"/>
    <s v="Patagonia"/>
    <n v="1351000"/>
    <n v="836500"/>
    <n v="514500"/>
  </r>
  <r>
    <s v="V0337"/>
    <x v="78"/>
    <x v="7"/>
    <s v="Tecnología"/>
    <n v="3"/>
    <n v="609300"/>
    <n v="485100"/>
    <s v="Valentina López"/>
    <s v="Centro"/>
    <n v="1827900"/>
    <n v="1455300"/>
    <n v="372600"/>
  </r>
  <r>
    <s v="V0238"/>
    <x v="78"/>
    <x v="3"/>
    <s v="Accesorios"/>
    <n v="1"/>
    <n v="46300"/>
    <n v="26400"/>
    <s v="Sofía Díaz"/>
    <s v="Patagonia"/>
    <n v="46300"/>
    <n v="26400"/>
    <n v="19900"/>
  </r>
  <r>
    <s v="V0399"/>
    <x v="79"/>
    <x v="0"/>
    <s v="Accesorios"/>
    <n v="3"/>
    <n v="20900"/>
    <n v="9900"/>
    <s v="Tomás Ruiz"/>
    <s v="Noroeste"/>
    <n v="62700"/>
    <n v="29700"/>
    <n v="33000"/>
  </r>
  <r>
    <s v="V0315"/>
    <x v="79"/>
    <x v="6"/>
    <s v="Accesorios"/>
    <n v="1"/>
    <n v="36600"/>
    <n v="18500"/>
    <s v="Lucía Gómez"/>
    <s v="Centro"/>
    <n v="36600"/>
    <n v="18500"/>
    <n v="18100"/>
  </r>
  <r>
    <s v="V0402"/>
    <x v="79"/>
    <x v="2"/>
    <s v="Accesorios"/>
    <n v="6"/>
    <n v="45800"/>
    <n v="22600"/>
    <s v="Tomás Ruiz"/>
    <s v="Buenos Aires"/>
    <n v="274800"/>
    <n v="135600"/>
    <n v="139200"/>
  </r>
  <r>
    <s v="V0366"/>
    <x v="80"/>
    <x v="0"/>
    <s v="Accesorios"/>
    <n v="1"/>
    <n v="21200"/>
    <n v="9700"/>
    <s v="Mateo Pérez"/>
    <s v="Buenos Aires"/>
    <n v="21200"/>
    <n v="9700"/>
    <n v="11500"/>
  </r>
  <r>
    <s v="V0475"/>
    <x v="80"/>
    <x v="6"/>
    <s v="Accesorios"/>
    <n v="1"/>
    <n v="37700"/>
    <n v="18300"/>
    <s v="Sofía Díaz"/>
    <s v="Buenos Aires"/>
    <n v="37700"/>
    <n v="18300"/>
    <n v="19400"/>
  </r>
  <r>
    <s v="V0390"/>
    <x v="81"/>
    <x v="1"/>
    <s v="Tecnología"/>
    <n v="2"/>
    <n v="320400"/>
    <n v="227200"/>
    <s v="Sofía Díaz"/>
    <s v="Noroeste"/>
    <n v="640800"/>
    <n v="454400"/>
    <n v="186400"/>
  </r>
  <r>
    <s v="V0104"/>
    <x v="81"/>
    <x v="9"/>
    <s v="Muebles"/>
    <n v="1"/>
    <n v="26200"/>
    <n v="14400"/>
    <s v="Valentina López"/>
    <s v="Patagonia"/>
    <n v="26200"/>
    <n v="14400"/>
    <n v="11800"/>
  </r>
  <r>
    <s v="V0154"/>
    <x v="81"/>
    <x v="0"/>
    <s v="Accesorios"/>
    <n v="2"/>
    <n v="22100"/>
    <n v="9700"/>
    <s v="Tomás Ruiz"/>
    <s v="Buenos Aires"/>
    <n v="44200"/>
    <n v="19400"/>
    <n v="24800"/>
  </r>
  <r>
    <s v="V0185"/>
    <x v="82"/>
    <x v="3"/>
    <s v="Accesorios"/>
    <n v="4"/>
    <n v="46200"/>
    <n v="25500"/>
    <s v="Mateo Pérez"/>
    <s v="Patagonia"/>
    <n v="184800"/>
    <n v="102000"/>
    <n v="82800"/>
  </r>
  <r>
    <s v="V0060"/>
    <x v="83"/>
    <x v="7"/>
    <s v="Tecnología"/>
    <n v="3"/>
    <n v="695400"/>
    <n v="462600"/>
    <s v="Valentina López"/>
    <s v="Buenos Aires"/>
    <n v="2086200"/>
    <n v="1387800"/>
    <n v="698400"/>
  </r>
  <r>
    <s v="V0461"/>
    <x v="84"/>
    <x v="4"/>
    <s v="Muebles"/>
    <n v="7"/>
    <n v="180100"/>
    <n v="114100"/>
    <s v="Mateo Pérez"/>
    <s v="Buenos Aires"/>
    <n v="1260700"/>
    <n v="798700"/>
    <n v="462000"/>
  </r>
  <r>
    <s v="V0034"/>
    <x v="84"/>
    <x v="6"/>
    <s v="Accesorios"/>
    <n v="6"/>
    <n v="35200"/>
    <n v="18000"/>
    <s v="Valentina López"/>
    <s v="Patagonia"/>
    <n v="211200"/>
    <n v="108000"/>
    <n v="103200"/>
  </r>
  <r>
    <s v="V0014"/>
    <x v="84"/>
    <x v="1"/>
    <s v="Tecnología"/>
    <n v="2"/>
    <n v="310200"/>
    <n v="222200"/>
    <s v="Tomás Ruiz"/>
    <s v="Centro"/>
    <n v="620400"/>
    <n v="444400"/>
    <n v="176000"/>
  </r>
  <r>
    <s v="V0176"/>
    <x v="85"/>
    <x v="7"/>
    <s v="Tecnología"/>
    <n v="2"/>
    <n v="613300"/>
    <n v="481500"/>
    <s v="Lucía Gómez"/>
    <s v="Buenos Aires"/>
    <n v="1226600"/>
    <n v="963000"/>
    <n v="263600"/>
  </r>
  <r>
    <s v="V0434"/>
    <x v="86"/>
    <x v="1"/>
    <s v="Tecnología"/>
    <n v="2"/>
    <n v="333200"/>
    <n v="230800"/>
    <s v="Sofía Díaz"/>
    <s v="Buenos Aires"/>
    <n v="666400"/>
    <n v="461600"/>
    <n v="204800"/>
  </r>
  <r>
    <s v="V0438"/>
    <x v="86"/>
    <x v="0"/>
    <s v="Accesorios"/>
    <n v="7"/>
    <n v="21900"/>
    <n v="10000"/>
    <s v="Valentina López"/>
    <s v="Centro"/>
    <n v="153300"/>
    <n v="70000"/>
    <n v="83300"/>
  </r>
  <r>
    <s v="V0403"/>
    <x v="87"/>
    <x v="3"/>
    <s v="Accesorios"/>
    <n v="2"/>
    <n v="50100"/>
    <n v="25000"/>
    <s v="Sofía Díaz"/>
    <s v="Buenos Aires"/>
    <n v="100200"/>
    <n v="50000"/>
    <n v="50200"/>
  </r>
  <r>
    <s v="V0387"/>
    <x v="88"/>
    <x v="3"/>
    <s v="Accesorios"/>
    <n v="3"/>
    <n v="49600"/>
    <n v="26900"/>
    <s v="Valentina López"/>
    <s v="Patagonia"/>
    <n v="148800"/>
    <n v="80700"/>
    <n v="68100"/>
  </r>
  <r>
    <s v="V0248"/>
    <x v="88"/>
    <x v="0"/>
    <s v="Accesorios"/>
    <n v="6"/>
    <n v="21000"/>
    <n v="9800"/>
    <s v="Lucía Gómez"/>
    <s v="Buenos Aires"/>
    <n v="126000"/>
    <n v="58800"/>
    <n v="67200"/>
  </r>
  <r>
    <s v="V0094"/>
    <x v="89"/>
    <x v="6"/>
    <s v="Accesorios"/>
    <n v="5"/>
    <n v="36000"/>
    <n v="17600"/>
    <s v="Lucía Gómez"/>
    <s v="Patagonia"/>
    <n v="180000"/>
    <n v="88000"/>
    <n v="92000"/>
  </r>
  <r>
    <s v="V0144"/>
    <x v="90"/>
    <x v="4"/>
    <s v="Muebles"/>
    <n v="1"/>
    <n v="166300"/>
    <n v="115900"/>
    <s v="Mateo Pérez"/>
    <s v="Noroeste"/>
    <n v="166300"/>
    <n v="115900"/>
    <n v="50400"/>
  </r>
  <r>
    <s v="V0030"/>
    <x v="91"/>
    <x v="5"/>
    <s v="Muebles"/>
    <n v="1"/>
    <n v="243300"/>
    <n v="171100"/>
    <s v="Sofía Díaz"/>
    <s v="Buenos Aires"/>
    <n v="243300"/>
    <n v="171100"/>
    <n v="72200"/>
  </r>
  <r>
    <s v="V0493"/>
    <x v="91"/>
    <x v="5"/>
    <s v="Muebles"/>
    <n v="5"/>
    <n v="260700"/>
    <n v="170500"/>
    <s v="Tomás Ruiz"/>
    <s v="Patagonia"/>
    <n v="1303500"/>
    <n v="852500"/>
    <n v="451000"/>
  </r>
  <r>
    <s v="V0069"/>
    <x v="91"/>
    <x v="7"/>
    <s v="Tecnología"/>
    <n v="7"/>
    <n v="620100"/>
    <n v="483200"/>
    <s v="Sofía Díaz"/>
    <s v="Noroeste"/>
    <n v="4340700"/>
    <n v="3382400"/>
    <n v="958300"/>
  </r>
  <r>
    <s v="V0141"/>
    <x v="92"/>
    <x v="0"/>
    <s v="Accesorios"/>
    <n v="1"/>
    <n v="22300"/>
    <n v="9900"/>
    <s v="Valentina López"/>
    <s v="Noroeste"/>
    <n v="22300"/>
    <n v="9900"/>
    <n v="12400"/>
  </r>
  <r>
    <s v="V0175"/>
    <x v="92"/>
    <x v="8"/>
    <s v="Tecnología"/>
    <n v="7"/>
    <n v="211800"/>
    <n v="153000"/>
    <s v="Tomás Ruiz"/>
    <s v="Buenos Aires"/>
    <n v="1482600"/>
    <n v="1071000"/>
    <n v="411600"/>
  </r>
  <r>
    <s v="V0329"/>
    <x v="93"/>
    <x v="4"/>
    <s v="Muebles"/>
    <n v="7"/>
    <n v="175200"/>
    <n v="113400"/>
    <s v="Lucía Gómez"/>
    <s v="Patagonia"/>
    <n v="1226400"/>
    <n v="793800"/>
    <n v="432600"/>
  </r>
  <r>
    <s v="V0159"/>
    <x v="93"/>
    <x v="3"/>
    <s v="Accesorios"/>
    <n v="2"/>
    <n v="52600"/>
    <n v="25500"/>
    <s v="Mateo Pérez"/>
    <s v="Cuyo"/>
    <n v="105200"/>
    <n v="51000"/>
    <n v="54200"/>
  </r>
  <r>
    <s v="V0371"/>
    <x v="94"/>
    <x v="3"/>
    <s v="Accesorios"/>
    <n v="2"/>
    <n v="47600"/>
    <n v="25100"/>
    <s v="Valentina López"/>
    <s v="Centro"/>
    <n v="95200"/>
    <n v="50200"/>
    <n v="45000"/>
  </r>
  <r>
    <s v="V0356"/>
    <x v="94"/>
    <x v="0"/>
    <s v="Accesorios"/>
    <n v="3"/>
    <n v="22900"/>
    <n v="9700"/>
    <s v="Sofía Díaz"/>
    <s v="Patagonia"/>
    <n v="68700"/>
    <n v="29100"/>
    <n v="39600"/>
  </r>
  <r>
    <s v="V0235"/>
    <x v="95"/>
    <x v="2"/>
    <s v="Accesorios"/>
    <n v="6"/>
    <n v="41000"/>
    <n v="22700"/>
    <s v="Tomás Ruiz"/>
    <s v="Buenos Aires"/>
    <n v="246000"/>
    <n v="136200"/>
    <n v="109800"/>
  </r>
  <r>
    <s v="V0382"/>
    <x v="95"/>
    <x v="2"/>
    <s v="Accesorios"/>
    <n v="2"/>
    <n v="39400"/>
    <n v="22500"/>
    <s v="Valentina López"/>
    <s v="Cuyo"/>
    <n v="78800"/>
    <n v="45000"/>
    <n v="33800"/>
  </r>
  <r>
    <s v="V0406"/>
    <x v="95"/>
    <x v="1"/>
    <s v="Tecnología"/>
    <n v="3"/>
    <n v="323000"/>
    <n v="229400"/>
    <s v="Mateo Pérez"/>
    <s v="Buenos Aires"/>
    <n v="969000"/>
    <n v="688200"/>
    <n v="280800"/>
  </r>
  <r>
    <s v="V0311"/>
    <x v="96"/>
    <x v="0"/>
    <s v="Accesorios"/>
    <n v="5"/>
    <n v="21500"/>
    <n v="9800"/>
    <s v="Lucía Gómez"/>
    <s v="Centro"/>
    <n v="107500"/>
    <n v="49000"/>
    <n v="58500"/>
  </r>
  <r>
    <s v="V0362"/>
    <x v="97"/>
    <x v="7"/>
    <s v="Tecnología"/>
    <n v="6"/>
    <n v="658800"/>
    <n v="465000"/>
    <s v="Valentina López"/>
    <s v="Noroeste"/>
    <n v="3952800"/>
    <n v="2790000"/>
    <n v="1162800"/>
  </r>
  <r>
    <s v="V0052"/>
    <x v="98"/>
    <x v="7"/>
    <s v="Tecnología"/>
    <n v="4"/>
    <n v="686500"/>
    <n v="483100"/>
    <s v="Mateo Pérez"/>
    <s v="Noroeste"/>
    <n v="2746000"/>
    <n v="1932400"/>
    <n v="813600"/>
  </r>
  <r>
    <s v="V0137"/>
    <x v="98"/>
    <x v="2"/>
    <s v="Accesorios"/>
    <n v="5"/>
    <n v="40500"/>
    <n v="22900"/>
    <s v="Lucía Gómez"/>
    <s v="Buenos Aires"/>
    <n v="202500"/>
    <n v="114500"/>
    <n v="88000"/>
  </r>
  <r>
    <s v="V0359"/>
    <x v="98"/>
    <x v="0"/>
    <s v="Accesorios"/>
    <n v="6"/>
    <n v="22600"/>
    <n v="10100"/>
    <s v="Mateo Pérez"/>
    <s v="Centro"/>
    <n v="135600"/>
    <n v="60600"/>
    <n v="75000"/>
  </r>
  <r>
    <s v="V0270"/>
    <x v="99"/>
    <x v="7"/>
    <s v="Tecnología"/>
    <n v="3"/>
    <n v="632200"/>
    <n v="487700"/>
    <s v="Mateo Pérez"/>
    <s v="Buenos Aires"/>
    <n v="1896600"/>
    <n v="1463100"/>
    <n v="433500"/>
  </r>
  <r>
    <s v="V0150"/>
    <x v="100"/>
    <x v="7"/>
    <s v="Tecnología"/>
    <n v="2"/>
    <n v="637300"/>
    <n v="488300"/>
    <s v="Mateo Pérez"/>
    <s v="Centro"/>
    <n v="1274600"/>
    <n v="976600"/>
    <n v="298000"/>
  </r>
  <r>
    <s v="V0044"/>
    <x v="100"/>
    <x v="6"/>
    <s v="Accesorios"/>
    <n v="2"/>
    <n v="34900"/>
    <n v="18400"/>
    <s v="Mateo Pérez"/>
    <s v="Buenos Aires"/>
    <n v="69800"/>
    <n v="36800"/>
    <n v="33000"/>
  </r>
  <r>
    <s v="V0267"/>
    <x v="101"/>
    <x v="6"/>
    <s v="Accesorios"/>
    <n v="4"/>
    <n v="36600"/>
    <n v="17600"/>
    <s v="Tomás Ruiz"/>
    <s v="Patagonia"/>
    <n v="146400"/>
    <n v="70400"/>
    <n v="76000"/>
  </r>
  <r>
    <s v="V0284"/>
    <x v="102"/>
    <x v="6"/>
    <s v="Accesorios"/>
    <n v="6"/>
    <n v="37000"/>
    <n v="18000"/>
    <s v="Tomás Ruiz"/>
    <s v="Buenos Aires"/>
    <n v="222000"/>
    <n v="108000"/>
    <n v="114000"/>
  </r>
  <r>
    <s v="V0467"/>
    <x v="103"/>
    <x v="5"/>
    <s v="Muebles"/>
    <n v="4"/>
    <n v="266500"/>
    <n v="172000"/>
    <s v="Tomás Ruiz"/>
    <s v="Centro"/>
    <n v="1066000"/>
    <n v="688000"/>
    <n v="378000"/>
  </r>
  <r>
    <s v="V0017"/>
    <x v="103"/>
    <x v="0"/>
    <s v="Accesorios"/>
    <n v="1"/>
    <n v="20800"/>
    <n v="9800"/>
    <s v="Tomás Ruiz"/>
    <s v="Patagonia"/>
    <n v="20800"/>
    <n v="9800"/>
    <n v="11000"/>
  </r>
  <r>
    <s v="V0158"/>
    <x v="103"/>
    <x v="5"/>
    <s v="Muebles"/>
    <n v="6"/>
    <n v="282700"/>
    <n v="175000"/>
    <s v="Valentina López"/>
    <s v="Noroeste"/>
    <n v="1696200"/>
    <n v="1050000"/>
    <n v="646200"/>
  </r>
  <r>
    <s v="V0384"/>
    <x v="104"/>
    <x v="0"/>
    <s v="Accesorios"/>
    <n v="5"/>
    <n v="21100"/>
    <n v="10000"/>
    <s v="Lucía Gómez"/>
    <s v="Patagonia"/>
    <n v="105500"/>
    <n v="50000"/>
    <n v="55500"/>
  </r>
  <r>
    <s v="V0066"/>
    <x v="104"/>
    <x v="0"/>
    <s v="Accesorios"/>
    <n v="7"/>
    <n v="22800"/>
    <n v="9900"/>
    <s v="Tomás Ruiz"/>
    <s v="Centro"/>
    <n v="159600"/>
    <n v="69300"/>
    <n v="90300"/>
  </r>
  <r>
    <s v="V0172"/>
    <x v="105"/>
    <x v="0"/>
    <s v="Accesorios"/>
    <n v="2"/>
    <n v="21100"/>
    <n v="10300"/>
    <s v="Valentina López"/>
    <s v="Centro"/>
    <n v="42200"/>
    <n v="20600"/>
    <n v="21600"/>
  </r>
  <r>
    <s v="V0093"/>
    <x v="106"/>
    <x v="0"/>
    <s v="Accesorios"/>
    <n v="1"/>
    <n v="20600"/>
    <n v="10000"/>
    <s v="Lucía Gómez"/>
    <s v="Centro"/>
    <n v="20600"/>
    <n v="10000"/>
    <n v="10600"/>
  </r>
  <r>
    <s v="V0477"/>
    <x v="106"/>
    <x v="0"/>
    <s v="Accesorios"/>
    <n v="3"/>
    <n v="23500"/>
    <n v="10200"/>
    <s v="Lucía Gómez"/>
    <s v="Noroeste"/>
    <n v="70500"/>
    <n v="30600"/>
    <n v="39900"/>
  </r>
  <r>
    <s v="V0282"/>
    <x v="106"/>
    <x v="8"/>
    <s v="Tecnología"/>
    <n v="1"/>
    <n v="209600"/>
    <n v="148200"/>
    <s v="Mateo Pérez"/>
    <s v="Centro"/>
    <n v="209600"/>
    <n v="148200"/>
    <n v="61400"/>
  </r>
  <r>
    <s v="V0351"/>
    <x v="106"/>
    <x v="4"/>
    <s v="Muebles"/>
    <n v="2"/>
    <n v="188900"/>
    <n v="116300"/>
    <s v="Tomás Ruiz"/>
    <s v="Buenos Aires"/>
    <n v="377800"/>
    <n v="232600"/>
    <n v="145200"/>
  </r>
  <r>
    <s v="V0319"/>
    <x v="107"/>
    <x v="6"/>
    <s v="Accesorios"/>
    <n v="3"/>
    <n v="32500"/>
    <n v="18400"/>
    <s v="Tomás Ruiz"/>
    <s v="Centro"/>
    <n v="97500"/>
    <n v="55200"/>
    <n v="42300"/>
  </r>
  <r>
    <s v="V0167"/>
    <x v="108"/>
    <x v="1"/>
    <s v="Tecnología"/>
    <n v="5"/>
    <n v="295300"/>
    <n v="228100"/>
    <s v="Valentina López"/>
    <s v="Centro"/>
    <n v="1476500"/>
    <n v="1140500"/>
    <n v="336000"/>
  </r>
  <r>
    <s v="V0301"/>
    <x v="109"/>
    <x v="3"/>
    <s v="Accesorios"/>
    <n v="4"/>
    <n v="51500"/>
    <n v="25400"/>
    <s v="Lucía Gómez"/>
    <s v="Centro"/>
    <n v="206000"/>
    <n v="101600"/>
    <n v="104400"/>
  </r>
  <r>
    <s v="V0130"/>
    <x v="110"/>
    <x v="4"/>
    <s v="Muebles"/>
    <n v="5"/>
    <n v="187900"/>
    <n v="110800"/>
    <s v="Tomás Ruiz"/>
    <s v="Centro"/>
    <n v="939500"/>
    <n v="554000"/>
    <n v="385500"/>
  </r>
  <r>
    <s v="V0339"/>
    <x v="110"/>
    <x v="7"/>
    <s v="Tecnología"/>
    <n v="4"/>
    <n v="678900"/>
    <n v="474900"/>
    <s v="Lucía Gómez"/>
    <s v="Buenos Aires"/>
    <n v="2715600"/>
    <n v="1899600"/>
    <n v="816000"/>
  </r>
  <r>
    <s v="V0494"/>
    <x v="111"/>
    <x v="6"/>
    <s v="Accesorios"/>
    <n v="6"/>
    <n v="35500"/>
    <n v="18300"/>
    <s v="Sofía Díaz"/>
    <s v="Cuyo"/>
    <n v="213000"/>
    <n v="109800"/>
    <n v="103200"/>
  </r>
  <r>
    <s v="V0251"/>
    <x v="112"/>
    <x v="5"/>
    <s v="Muebles"/>
    <n v="7"/>
    <n v="275300"/>
    <n v="173300"/>
    <s v="Sofía Díaz"/>
    <s v="Patagonia"/>
    <n v="1927100"/>
    <n v="1213100"/>
    <n v="714000"/>
  </r>
  <r>
    <s v="V0043"/>
    <x v="113"/>
    <x v="3"/>
    <s v="Accesorios"/>
    <n v="4"/>
    <n v="45000"/>
    <n v="25000"/>
    <s v="Tomás Ruiz"/>
    <s v="Buenos Aires"/>
    <n v="180000"/>
    <n v="100000"/>
    <n v="80000"/>
  </r>
  <r>
    <s v="V0308"/>
    <x v="113"/>
    <x v="4"/>
    <s v="Muebles"/>
    <n v="1"/>
    <n v="187800"/>
    <n v="112800"/>
    <s v="Mateo Pérez"/>
    <s v="Cuyo"/>
    <n v="187800"/>
    <n v="112800"/>
    <n v="75000"/>
  </r>
  <r>
    <s v="V0484"/>
    <x v="113"/>
    <x v="6"/>
    <s v="Accesorios"/>
    <n v="5"/>
    <n v="38400"/>
    <n v="17300"/>
    <s v="Mateo Pérez"/>
    <s v="Noroeste"/>
    <n v="192000"/>
    <n v="86500"/>
    <n v="105500"/>
  </r>
  <r>
    <s v="V0190"/>
    <x v="113"/>
    <x v="6"/>
    <s v="Accesorios"/>
    <n v="6"/>
    <n v="32400"/>
    <n v="17600"/>
    <s v="Mateo Pérez"/>
    <s v="Buenos Aires"/>
    <n v="194400"/>
    <n v="105600"/>
    <n v="88800"/>
  </r>
  <r>
    <s v="V0479"/>
    <x v="114"/>
    <x v="4"/>
    <s v="Muebles"/>
    <n v="6"/>
    <n v="173100"/>
    <n v="112000"/>
    <s v="Lucía Gómez"/>
    <s v="Buenos Aires"/>
    <n v="1038600"/>
    <n v="672000"/>
    <n v="366600"/>
  </r>
  <r>
    <s v="V0224"/>
    <x v="114"/>
    <x v="2"/>
    <s v="Accesorios"/>
    <n v="4"/>
    <n v="42500"/>
    <n v="22600"/>
    <s v="Sofía Díaz"/>
    <s v="Centro"/>
    <n v="170000"/>
    <n v="90400"/>
    <n v="79600"/>
  </r>
  <r>
    <s v="V0079"/>
    <x v="114"/>
    <x v="0"/>
    <s v="Accesorios"/>
    <n v="5"/>
    <n v="20500"/>
    <n v="10200"/>
    <s v="Lucía Gómez"/>
    <s v="Buenos Aires"/>
    <n v="102500"/>
    <n v="51000"/>
    <n v="51500"/>
  </r>
  <r>
    <s v="V0373"/>
    <x v="115"/>
    <x v="6"/>
    <s v="Accesorios"/>
    <n v="7"/>
    <n v="35500"/>
    <n v="18100"/>
    <s v="Mateo Pérez"/>
    <s v="Buenos Aires"/>
    <n v="248500"/>
    <n v="126700"/>
    <n v="121800"/>
  </r>
  <r>
    <s v="V0184"/>
    <x v="115"/>
    <x v="6"/>
    <s v="Accesorios"/>
    <n v="3"/>
    <n v="32400"/>
    <n v="17400"/>
    <s v="Tomás Ruiz"/>
    <s v="Buenos Aires"/>
    <n v="97200"/>
    <n v="52200"/>
    <n v="45000"/>
  </r>
  <r>
    <s v="V0059"/>
    <x v="116"/>
    <x v="8"/>
    <s v="Tecnología"/>
    <n v="6"/>
    <n v="210500"/>
    <n v="150300"/>
    <s v="Sofía Díaz"/>
    <s v="Patagonia"/>
    <n v="1263000"/>
    <n v="901800"/>
    <n v="361200"/>
  </r>
  <r>
    <s v="V0332"/>
    <x v="117"/>
    <x v="8"/>
    <s v="Tecnología"/>
    <n v="5"/>
    <n v="223700"/>
    <n v="149800"/>
    <s v="Mateo Pérez"/>
    <s v="Buenos Aires"/>
    <n v="1118500"/>
    <n v="749000"/>
    <n v="369500"/>
  </r>
  <r>
    <s v="V0436"/>
    <x v="117"/>
    <x v="8"/>
    <s v="Tecnología"/>
    <n v="3"/>
    <n v="240400"/>
    <n v="146700"/>
    <s v="Tomás Ruiz"/>
    <s v="Centro"/>
    <n v="721200"/>
    <n v="440100"/>
    <n v="281100"/>
  </r>
  <r>
    <s v="V0495"/>
    <x v="118"/>
    <x v="3"/>
    <s v="Accesorios"/>
    <n v="1"/>
    <n v="49100"/>
    <n v="25200"/>
    <s v="Mateo Pérez"/>
    <s v="Cuyo"/>
    <n v="49100"/>
    <n v="25200"/>
    <n v="23900"/>
  </r>
  <r>
    <s v="V0152"/>
    <x v="118"/>
    <x v="2"/>
    <s v="Accesorios"/>
    <n v="1"/>
    <n v="45000"/>
    <n v="22700"/>
    <s v="Valentina López"/>
    <s v="Patagonia"/>
    <n v="45000"/>
    <n v="22700"/>
    <n v="22300"/>
  </r>
  <r>
    <s v="V0443"/>
    <x v="119"/>
    <x v="3"/>
    <s v="Accesorios"/>
    <n v="1"/>
    <n v="47900"/>
    <n v="25900"/>
    <s v="Mateo Pérez"/>
    <s v="Cuyo"/>
    <n v="47900"/>
    <n v="25900"/>
    <n v="22000"/>
  </r>
  <r>
    <s v="V0099"/>
    <x v="119"/>
    <x v="7"/>
    <s v="Tecnología"/>
    <n v="5"/>
    <n v="706800"/>
    <n v="451900"/>
    <s v="Mateo Pérez"/>
    <s v="Buenos Aires"/>
    <n v="3534000"/>
    <n v="2259500"/>
    <n v="1274500"/>
  </r>
  <r>
    <s v="V0039"/>
    <x v="120"/>
    <x v="8"/>
    <s v="Tecnología"/>
    <n v="5"/>
    <n v="221500"/>
    <n v="155100"/>
    <s v="Sofía Díaz"/>
    <s v="Centro"/>
    <n v="1107500"/>
    <n v="775500"/>
    <n v="332000"/>
  </r>
  <r>
    <s v="V0417"/>
    <x v="121"/>
    <x v="8"/>
    <s v="Tecnología"/>
    <n v="4"/>
    <n v="210100"/>
    <n v="144000"/>
    <s v="Mateo Pérez"/>
    <s v="Buenos Aires"/>
    <n v="840400"/>
    <n v="576000"/>
    <n v="264400"/>
  </r>
  <r>
    <s v="V0219"/>
    <x v="121"/>
    <x v="2"/>
    <s v="Accesorios"/>
    <n v="4"/>
    <n v="43100"/>
    <n v="22600"/>
    <s v="Lucía Gómez"/>
    <s v="Buenos Aires"/>
    <n v="172400"/>
    <n v="90400"/>
    <n v="82000"/>
  </r>
  <r>
    <s v="V0292"/>
    <x v="122"/>
    <x v="7"/>
    <s v="Tecnología"/>
    <n v="3"/>
    <n v="614200"/>
    <n v="467300"/>
    <s v="Mateo Pérez"/>
    <s v="Buenos Aires"/>
    <n v="1842600"/>
    <n v="1401900"/>
    <n v="440700"/>
  </r>
  <r>
    <s v="V0262"/>
    <x v="123"/>
    <x v="1"/>
    <s v="Tecnología"/>
    <n v="1"/>
    <n v="332200"/>
    <n v="231600"/>
    <s v="Lucía Gómez"/>
    <s v="Cuyo"/>
    <n v="332200"/>
    <n v="231600"/>
    <n v="100600"/>
  </r>
  <r>
    <s v="V0183"/>
    <x v="124"/>
    <x v="0"/>
    <s v="Accesorios"/>
    <n v="6"/>
    <n v="23900"/>
    <n v="9800"/>
    <s v="Tomás Ruiz"/>
    <s v="Buenos Aires"/>
    <n v="143400"/>
    <n v="58800"/>
    <n v="84600"/>
  </r>
  <r>
    <s v="V0318"/>
    <x v="124"/>
    <x v="5"/>
    <s v="Muebles"/>
    <n v="1"/>
    <n v="274900"/>
    <n v="181800"/>
    <s v="Valentina López"/>
    <s v="Centro"/>
    <n v="274900"/>
    <n v="181800"/>
    <n v="93100"/>
  </r>
  <r>
    <s v="V0091"/>
    <x v="124"/>
    <x v="8"/>
    <s v="Tecnología"/>
    <n v="3"/>
    <n v="226600"/>
    <n v="153300"/>
    <s v="Mateo Pérez"/>
    <s v="Noroeste"/>
    <n v="679800"/>
    <n v="459900"/>
    <n v="219900"/>
  </r>
  <r>
    <s v="V0472"/>
    <x v="124"/>
    <x v="0"/>
    <s v="Accesorios"/>
    <n v="5"/>
    <n v="24100"/>
    <n v="10300"/>
    <s v="Sofía Díaz"/>
    <s v="Cuyo"/>
    <n v="120500"/>
    <n v="51500"/>
    <n v="69000"/>
  </r>
  <r>
    <s v="V0057"/>
    <x v="125"/>
    <x v="0"/>
    <s v="Accesorios"/>
    <n v="6"/>
    <n v="22300"/>
    <n v="10100"/>
    <s v="Tomás Ruiz"/>
    <s v="Cuyo"/>
    <n v="133800"/>
    <n v="60600"/>
    <n v="73200"/>
  </r>
  <r>
    <s v="V0372"/>
    <x v="125"/>
    <x v="6"/>
    <s v="Accesorios"/>
    <n v="5"/>
    <n v="38000"/>
    <n v="18600"/>
    <s v="Lucía Gómez"/>
    <s v="Noroeste"/>
    <n v="190000"/>
    <n v="93000"/>
    <n v="97000"/>
  </r>
  <r>
    <s v="V0330"/>
    <x v="125"/>
    <x v="6"/>
    <s v="Accesorios"/>
    <n v="3"/>
    <n v="38100"/>
    <n v="18300"/>
    <s v="Lucía Gómez"/>
    <s v="Patagonia"/>
    <n v="114300"/>
    <n v="54900"/>
    <n v="59400"/>
  </r>
  <r>
    <s v="V0367"/>
    <x v="126"/>
    <x v="3"/>
    <s v="Accesorios"/>
    <n v="6"/>
    <n v="47100"/>
    <n v="26700"/>
    <s v="Lucía Gómez"/>
    <s v="Centro"/>
    <n v="282600"/>
    <n v="160200"/>
    <n v="122400"/>
  </r>
  <r>
    <s v="V0457"/>
    <x v="127"/>
    <x v="9"/>
    <s v="Muebles"/>
    <n v="4"/>
    <n v="27000"/>
    <n v="14000"/>
    <s v="Valentina López"/>
    <s v="Buenos Aires"/>
    <n v="108000"/>
    <n v="56000"/>
    <n v="52000"/>
  </r>
  <r>
    <s v="V0212"/>
    <x v="128"/>
    <x v="4"/>
    <s v="Muebles"/>
    <n v="7"/>
    <n v="170500"/>
    <n v="113600"/>
    <s v="Tomás Ruiz"/>
    <s v="Buenos Aires"/>
    <n v="1193500"/>
    <n v="795200"/>
    <n v="398300"/>
  </r>
  <r>
    <s v="V0247"/>
    <x v="129"/>
    <x v="4"/>
    <s v="Muebles"/>
    <n v="3"/>
    <n v="173800"/>
    <n v="114000"/>
    <s v="Lucía Gómez"/>
    <s v="Cuyo"/>
    <n v="521400"/>
    <n v="342000"/>
    <n v="179400"/>
  </r>
  <r>
    <s v="V0498"/>
    <x v="130"/>
    <x v="4"/>
    <s v="Muebles"/>
    <n v="2"/>
    <n v="191000"/>
    <n v="112300"/>
    <s v="Lucía Gómez"/>
    <s v="Centro"/>
    <n v="382000"/>
    <n v="224600"/>
    <n v="157400"/>
  </r>
  <r>
    <s v="V0075"/>
    <x v="130"/>
    <x v="7"/>
    <s v="Tecnología"/>
    <n v="3"/>
    <n v="604400"/>
    <n v="473100"/>
    <s v="Sofía Díaz"/>
    <s v="Patagonia"/>
    <n v="1813200"/>
    <n v="1419300"/>
    <n v="393900"/>
  </r>
  <r>
    <s v="V0430"/>
    <x v="131"/>
    <x v="3"/>
    <s v="Accesorios"/>
    <n v="1"/>
    <n v="47200"/>
    <n v="26800"/>
    <s v="Lucía Gómez"/>
    <s v="Noroeste"/>
    <n v="47200"/>
    <n v="26800"/>
    <n v="20400"/>
  </r>
  <r>
    <s v="V0101"/>
    <x v="131"/>
    <x v="2"/>
    <s v="Accesorios"/>
    <n v="6"/>
    <n v="38700"/>
    <n v="23500"/>
    <s v="Tomás Ruiz"/>
    <s v="Noroeste"/>
    <n v="232200"/>
    <n v="141000"/>
    <n v="91200"/>
  </r>
  <r>
    <s v="V0419"/>
    <x v="132"/>
    <x v="8"/>
    <s v="Tecnología"/>
    <n v="4"/>
    <n v="209000"/>
    <n v="149400"/>
    <s v="Sofía Díaz"/>
    <s v="Noroeste"/>
    <n v="836000"/>
    <n v="597600"/>
    <n v="238400"/>
  </r>
  <r>
    <s v="V0201"/>
    <x v="133"/>
    <x v="3"/>
    <s v="Accesorios"/>
    <n v="2"/>
    <n v="44500"/>
    <n v="26600"/>
    <s v="Lucía Gómez"/>
    <s v="Centro"/>
    <n v="89000"/>
    <n v="53200"/>
    <n v="35800"/>
  </r>
  <r>
    <s v="V0100"/>
    <x v="134"/>
    <x v="9"/>
    <s v="Muebles"/>
    <n v="3"/>
    <n v="30400"/>
    <n v="14500"/>
    <s v="Valentina López"/>
    <s v="Noroeste"/>
    <n v="91200"/>
    <n v="43500"/>
    <n v="47700"/>
  </r>
  <r>
    <s v="V0145"/>
    <x v="135"/>
    <x v="0"/>
    <s v="Accesorios"/>
    <n v="3"/>
    <n v="23300"/>
    <n v="9800"/>
    <s v="Sofía Díaz"/>
    <s v="Buenos Aires"/>
    <n v="69900"/>
    <n v="29400"/>
    <n v="40500"/>
  </r>
  <r>
    <s v="V0031"/>
    <x v="136"/>
    <x v="3"/>
    <s v="Accesorios"/>
    <n v="1"/>
    <n v="48000"/>
    <n v="26500"/>
    <s v="Lucía Gómez"/>
    <s v="Buenos Aires"/>
    <n v="48000"/>
    <n v="26500"/>
    <n v="21500"/>
  </r>
  <r>
    <s v="V0115"/>
    <x v="137"/>
    <x v="8"/>
    <s v="Tecnología"/>
    <n v="2"/>
    <n v="210900"/>
    <n v="154300"/>
    <s v="Mateo Pérez"/>
    <s v="Centro"/>
    <n v="421800"/>
    <n v="308600"/>
    <n v="113200"/>
  </r>
  <r>
    <s v="V0491"/>
    <x v="137"/>
    <x v="3"/>
    <s v="Accesorios"/>
    <n v="4"/>
    <n v="46700"/>
    <n v="26100"/>
    <s v="Mateo Pérez"/>
    <s v="Buenos Aires"/>
    <n v="186800"/>
    <n v="104400"/>
    <n v="82400"/>
  </r>
  <r>
    <s v="V0243"/>
    <x v="137"/>
    <x v="8"/>
    <s v="Tecnología"/>
    <n v="1"/>
    <n v="237100"/>
    <n v="145600"/>
    <s v="Lucía Gómez"/>
    <s v="Noroeste"/>
    <n v="237100"/>
    <n v="145600"/>
    <n v="91500"/>
  </r>
  <r>
    <s v="V0476"/>
    <x v="138"/>
    <x v="6"/>
    <s v="Accesorios"/>
    <n v="7"/>
    <n v="35600"/>
    <n v="17800"/>
    <s v="Sofía Díaz"/>
    <s v="Buenos Aires"/>
    <n v="249200"/>
    <n v="124600"/>
    <n v="124600"/>
  </r>
  <r>
    <s v="V0018"/>
    <x v="139"/>
    <x v="7"/>
    <s v="Tecnología"/>
    <n v="4"/>
    <n v="696500"/>
    <n v="463600"/>
    <s v="Tomás Ruiz"/>
    <s v="Centro"/>
    <n v="2786000"/>
    <n v="1854400"/>
    <n v="931600"/>
  </r>
  <r>
    <s v="V0352"/>
    <x v="139"/>
    <x v="8"/>
    <s v="Tecnología"/>
    <n v="4"/>
    <n v="233700"/>
    <n v="151500"/>
    <s v="Tomás Ruiz"/>
    <s v="Cuyo"/>
    <n v="934800"/>
    <n v="606000"/>
    <n v="328800"/>
  </r>
  <r>
    <s v="V0119"/>
    <x v="139"/>
    <x v="0"/>
    <s v="Accesorios"/>
    <n v="7"/>
    <n v="23000"/>
    <n v="10400"/>
    <s v="Tomás Ruiz"/>
    <s v="Buenos Aires"/>
    <n v="161000"/>
    <n v="72800"/>
    <n v="88200"/>
  </r>
  <r>
    <s v="V0355"/>
    <x v="140"/>
    <x v="0"/>
    <s v="Accesorios"/>
    <n v="6"/>
    <n v="22300"/>
    <n v="10300"/>
    <s v="Mateo Pérez"/>
    <s v="Buenos Aires"/>
    <n v="133800"/>
    <n v="61800"/>
    <n v="72000"/>
  </r>
  <r>
    <s v="V0161"/>
    <x v="141"/>
    <x v="7"/>
    <s v="Tecnología"/>
    <n v="5"/>
    <n v="650400"/>
    <n v="461700"/>
    <s v="Mateo Pérez"/>
    <s v="Patagonia"/>
    <n v="3252000"/>
    <n v="2308500"/>
    <n v="943500"/>
  </r>
  <r>
    <s v="V0008"/>
    <x v="142"/>
    <x v="3"/>
    <s v="Accesorios"/>
    <n v="7"/>
    <n v="44800"/>
    <n v="27000"/>
    <s v="Tomás Ruiz"/>
    <s v="Centro"/>
    <n v="313600"/>
    <n v="189000"/>
    <n v="124600"/>
  </r>
  <r>
    <s v="V0378"/>
    <x v="142"/>
    <x v="0"/>
    <s v="Accesorios"/>
    <n v="6"/>
    <n v="20500"/>
    <n v="10400"/>
    <s v="Valentina López"/>
    <s v="Buenos Aires"/>
    <n v="123000"/>
    <n v="62400"/>
    <n v="60600"/>
  </r>
  <r>
    <s v="V0090"/>
    <x v="142"/>
    <x v="0"/>
    <s v="Accesorios"/>
    <n v="6"/>
    <n v="22000"/>
    <n v="10100"/>
    <s v="Valentina López"/>
    <s v="Buenos Aires"/>
    <n v="132000"/>
    <n v="60600"/>
    <n v="71400"/>
  </r>
  <r>
    <s v="V0053"/>
    <x v="142"/>
    <x v="3"/>
    <s v="Accesorios"/>
    <n v="5"/>
    <n v="52800"/>
    <n v="25400"/>
    <s v="Valentina López"/>
    <s v="Buenos Aires"/>
    <n v="264000"/>
    <n v="127000"/>
    <n v="137000"/>
  </r>
  <r>
    <s v="V0151"/>
    <x v="143"/>
    <x v="1"/>
    <s v="Tecnología"/>
    <n v="1"/>
    <n v="286100"/>
    <n v="224100"/>
    <s v="Mateo Pérez"/>
    <s v="Buenos Aires"/>
    <n v="286100"/>
    <n v="224100"/>
    <n v="62000"/>
  </r>
  <r>
    <s v="V0489"/>
    <x v="144"/>
    <x v="4"/>
    <s v="Muebles"/>
    <n v="7"/>
    <n v="170000"/>
    <n v="114000"/>
    <s v="Mateo Pérez"/>
    <s v="Noroeste"/>
    <n v="1190000"/>
    <n v="798000"/>
    <n v="392000"/>
  </r>
  <r>
    <s v="V0216"/>
    <x v="144"/>
    <x v="3"/>
    <s v="Accesorios"/>
    <n v="5"/>
    <n v="52500"/>
    <n v="26700"/>
    <s v="Sofía Díaz"/>
    <s v="Centro"/>
    <n v="262500"/>
    <n v="133500"/>
    <n v="129000"/>
  </r>
  <r>
    <s v="V0240"/>
    <x v="144"/>
    <x v="7"/>
    <s v="Tecnología"/>
    <n v="4"/>
    <n v="674500"/>
    <n v="463900"/>
    <s v="Mateo Pérez"/>
    <s v="Buenos Aires"/>
    <n v="2698000"/>
    <n v="1855600"/>
    <n v="842400"/>
  </r>
  <r>
    <s v="V0051"/>
    <x v="144"/>
    <x v="8"/>
    <s v="Tecnología"/>
    <n v="6"/>
    <n v="238300"/>
    <n v="150000"/>
    <s v="Mateo Pérez"/>
    <s v="Centro"/>
    <n v="1429800"/>
    <n v="900000"/>
    <n v="529800"/>
  </r>
  <r>
    <s v="V0295"/>
    <x v="145"/>
    <x v="1"/>
    <s v="Tecnología"/>
    <n v="2"/>
    <n v="289100"/>
    <n v="219100"/>
    <s v="Valentina López"/>
    <s v="Buenos Aires"/>
    <n v="578200"/>
    <n v="438200"/>
    <n v="140000"/>
  </r>
  <r>
    <s v="V0441"/>
    <x v="145"/>
    <x v="1"/>
    <s v="Tecnología"/>
    <n v="2"/>
    <n v="312900"/>
    <n v="232000"/>
    <s v="Lucía Gómez"/>
    <s v="Patagonia"/>
    <n v="625800"/>
    <n v="464000"/>
    <n v="161800"/>
  </r>
  <r>
    <s v="V0459"/>
    <x v="146"/>
    <x v="3"/>
    <s v="Accesorios"/>
    <n v="2"/>
    <n v="44800"/>
    <n v="26200"/>
    <s v="Lucía Gómez"/>
    <s v="Buenos Aires"/>
    <n v="89600"/>
    <n v="52400"/>
    <n v="37200"/>
  </r>
  <r>
    <s v="V0164"/>
    <x v="146"/>
    <x v="7"/>
    <s v="Tecnología"/>
    <n v="4"/>
    <n v="619800"/>
    <n v="462500"/>
    <s v="Valentina López"/>
    <s v="Buenos Aires"/>
    <n v="2479200"/>
    <n v="1850000"/>
    <n v="629200"/>
  </r>
  <r>
    <s v="V0206"/>
    <x v="146"/>
    <x v="8"/>
    <s v="Tecnología"/>
    <n v="7"/>
    <n v="212900"/>
    <n v="148700"/>
    <s v="Lucía Gómez"/>
    <s v="Buenos Aires"/>
    <n v="1490300"/>
    <n v="1040900"/>
    <n v="449400"/>
  </r>
  <r>
    <s v="V0010"/>
    <x v="147"/>
    <x v="0"/>
    <s v="Accesorios"/>
    <n v="3"/>
    <n v="23500"/>
    <n v="10100"/>
    <s v="Sofía Díaz"/>
    <s v="Buenos Aires"/>
    <n v="70500"/>
    <n v="30300"/>
    <n v="40200"/>
  </r>
  <r>
    <s v="V0015"/>
    <x v="147"/>
    <x v="0"/>
    <s v="Accesorios"/>
    <n v="7"/>
    <n v="22100"/>
    <n v="9700"/>
    <s v="Mateo Pérez"/>
    <s v="Noroeste"/>
    <n v="154700"/>
    <n v="67900"/>
    <n v="86800"/>
  </r>
  <r>
    <s v="V0310"/>
    <x v="148"/>
    <x v="8"/>
    <s v="Tecnología"/>
    <n v="2"/>
    <n v="223000"/>
    <n v="149500"/>
    <s v="Mateo Pérez"/>
    <s v="Patagonia"/>
    <n v="446000"/>
    <n v="299000"/>
    <n v="147000"/>
  </r>
  <r>
    <s v="V0074"/>
    <x v="148"/>
    <x v="8"/>
    <s v="Tecnología"/>
    <n v="2"/>
    <n v="213300"/>
    <n v="144800"/>
    <s v="Tomás Ruiz"/>
    <s v="Buenos Aires"/>
    <n v="426600"/>
    <n v="289600"/>
    <n v="137000"/>
  </r>
  <r>
    <s v="V0194"/>
    <x v="148"/>
    <x v="1"/>
    <s v="Tecnología"/>
    <n v="2"/>
    <n v="328400"/>
    <n v="229800"/>
    <s v="Tomás Ruiz"/>
    <s v="Buenos Aires"/>
    <n v="656800"/>
    <n v="459600"/>
    <n v="197200"/>
  </r>
  <r>
    <s v="V0298"/>
    <x v="149"/>
    <x v="3"/>
    <s v="Accesorios"/>
    <n v="4"/>
    <n v="44700"/>
    <n v="26800"/>
    <s v="Mateo Pérez"/>
    <s v="Buenos Aires"/>
    <n v="178800"/>
    <n v="107200"/>
    <n v="71600"/>
  </r>
  <r>
    <s v="V0391"/>
    <x v="149"/>
    <x v="4"/>
    <s v="Muebles"/>
    <n v="2"/>
    <n v="186300"/>
    <n v="116800"/>
    <s v="Lucía Gómez"/>
    <s v="Buenos Aires"/>
    <n v="372600"/>
    <n v="233600"/>
    <n v="139000"/>
  </r>
  <r>
    <s v="V0500"/>
    <x v="149"/>
    <x v="0"/>
    <s v="Accesorios"/>
    <n v="7"/>
    <n v="20400"/>
    <n v="9800"/>
    <s v="Tomás Ruiz"/>
    <s v="Cuyo"/>
    <n v="142800"/>
    <n v="68600"/>
    <n v="74200"/>
  </r>
  <r>
    <s v="V0163"/>
    <x v="149"/>
    <x v="8"/>
    <s v="Tecnología"/>
    <n v="4"/>
    <n v="223400"/>
    <n v="155700"/>
    <s v="Valentina López"/>
    <s v="Patagonia"/>
    <n v="893600"/>
    <n v="622800"/>
    <n v="270800"/>
  </r>
  <r>
    <s v="V0146"/>
    <x v="149"/>
    <x v="6"/>
    <s v="Accesorios"/>
    <n v="3"/>
    <n v="37200"/>
    <n v="18200"/>
    <s v="Lucía Gómez"/>
    <s v="Centro"/>
    <n v="111600"/>
    <n v="54600"/>
    <n v="57000"/>
  </r>
  <r>
    <s v="V0334"/>
    <x v="150"/>
    <x v="1"/>
    <s v="Tecnología"/>
    <n v="3"/>
    <n v="314600"/>
    <n v="217200"/>
    <s v="Sofía Díaz"/>
    <s v="Centro"/>
    <n v="943800"/>
    <n v="651600"/>
    <n v="292200"/>
  </r>
  <r>
    <s v="V0340"/>
    <x v="150"/>
    <x v="2"/>
    <s v="Accesorios"/>
    <n v="3"/>
    <n v="44400"/>
    <n v="23600"/>
    <s v="Sofía Díaz"/>
    <s v="Buenos Aires"/>
    <n v="133200"/>
    <n v="70800"/>
    <n v="62400"/>
  </r>
  <r>
    <s v="V0139"/>
    <x v="151"/>
    <x v="3"/>
    <s v="Accesorios"/>
    <n v="2"/>
    <n v="47400"/>
    <n v="26100"/>
    <s v="Sofía Díaz"/>
    <s v="Buenos Aires"/>
    <n v="94800"/>
    <n v="52200"/>
    <n v="42600"/>
  </r>
  <r>
    <s v="V0379"/>
    <x v="152"/>
    <x v="6"/>
    <s v="Accesorios"/>
    <n v="1"/>
    <n v="38100"/>
    <n v="18000"/>
    <s v="Tomás Ruiz"/>
    <s v="Buenos Aires"/>
    <n v="38100"/>
    <n v="18000"/>
    <n v="20100"/>
  </r>
  <r>
    <s v="V0258"/>
    <x v="152"/>
    <x v="7"/>
    <s v="Tecnología"/>
    <n v="4"/>
    <n v="612800"/>
    <n v="479500"/>
    <s v="Lucía Gómez"/>
    <s v="Buenos Aires"/>
    <n v="2451200"/>
    <n v="1918000"/>
    <n v="533200"/>
  </r>
  <r>
    <s v="V0322"/>
    <x v="153"/>
    <x v="0"/>
    <s v="Accesorios"/>
    <n v="3"/>
    <n v="20300"/>
    <n v="10100"/>
    <s v="Mateo Pérez"/>
    <s v="Centro"/>
    <n v="60900"/>
    <n v="30300"/>
    <n v="30600"/>
  </r>
  <r>
    <s v="V0496"/>
    <x v="154"/>
    <x v="0"/>
    <s v="Accesorios"/>
    <n v="4"/>
    <n v="23600"/>
    <n v="9700"/>
    <s v="Valentina López"/>
    <s v="Noroeste"/>
    <n v="94400"/>
    <n v="38800"/>
    <n v="55600"/>
  </r>
  <r>
    <s v="V0221"/>
    <x v="154"/>
    <x v="6"/>
    <s v="Accesorios"/>
    <n v="6"/>
    <n v="35800"/>
    <n v="18300"/>
    <s v="Lucía Gómez"/>
    <s v="Buenos Aires"/>
    <n v="214800"/>
    <n v="109800"/>
    <n v="105000"/>
  </r>
  <r>
    <s v="V0257"/>
    <x v="155"/>
    <x v="3"/>
    <s v="Accesorios"/>
    <n v="5"/>
    <n v="45000"/>
    <n v="26100"/>
    <s v="Tomás Ruiz"/>
    <s v="Centro"/>
    <n v="225000"/>
    <n v="130500"/>
    <n v="94500"/>
  </r>
  <r>
    <s v="V0084"/>
    <x v="155"/>
    <x v="8"/>
    <s v="Tecnología"/>
    <n v="5"/>
    <n v="231100"/>
    <n v="151200"/>
    <s v="Lucía Gómez"/>
    <s v="Patagonia"/>
    <n v="1155500"/>
    <n v="756000"/>
    <n v="399500"/>
  </r>
  <r>
    <s v="V0364"/>
    <x v="155"/>
    <x v="7"/>
    <s v="Tecnología"/>
    <n v="6"/>
    <n v="620600"/>
    <n v="465200"/>
    <s v="Tomás Ruiz"/>
    <s v="Noroeste"/>
    <n v="3723600"/>
    <n v="2791200"/>
    <n v="932400"/>
  </r>
  <r>
    <s v="V0128"/>
    <x v="156"/>
    <x v="8"/>
    <s v="Tecnología"/>
    <n v="3"/>
    <n v="237400"/>
    <n v="149900"/>
    <s v="Lucía Gómez"/>
    <s v="Cuyo"/>
    <n v="712200"/>
    <n v="449700"/>
    <n v="262500"/>
  </r>
  <r>
    <s v="V0003"/>
    <x v="156"/>
    <x v="1"/>
    <s v="Tecnología"/>
    <n v="3"/>
    <n v="317500"/>
    <n v="218500"/>
    <s v="Sofía Díaz"/>
    <s v="Centro"/>
    <n v="952500"/>
    <n v="655500"/>
    <n v="297000"/>
  </r>
  <r>
    <s v="V0411"/>
    <x v="157"/>
    <x v="5"/>
    <s v="Muebles"/>
    <n v="7"/>
    <n v="265300"/>
    <n v="178500"/>
    <s v="Lucía Gómez"/>
    <s v="Cuyo"/>
    <n v="1857100"/>
    <n v="1249500"/>
    <n v="607600"/>
  </r>
  <r>
    <s v="V0386"/>
    <x v="157"/>
    <x v="9"/>
    <s v="Muebles"/>
    <n v="5"/>
    <n v="28600"/>
    <n v="13900"/>
    <s v="Valentina López"/>
    <s v="Buenos Aires"/>
    <n v="143000"/>
    <n v="69500"/>
    <n v="73500"/>
  </r>
  <r>
    <s v="V0433"/>
    <x v="158"/>
    <x v="5"/>
    <s v="Muebles"/>
    <n v="7"/>
    <n v="262300"/>
    <n v="170800"/>
    <s v="Mateo Pérez"/>
    <s v="Buenos Aires"/>
    <n v="1836100"/>
    <n v="1195600"/>
    <n v="640500"/>
  </r>
  <r>
    <s v="V0188"/>
    <x v="159"/>
    <x v="7"/>
    <s v="Tecnología"/>
    <n v="7"/>
    <n v="643100"/>
    <n v="463900"/>
    <s v="Sofía Díaz"/>
    <s v="Patagonia"/>
    <n v="4501700"/>
    <n v="3247300"/>
    <n v="1254400"/>
  </r>
  <r>
    <s v="V0029"/>
    <x v="159"/>
    <x v="8"/>
    <s v="Tecnología"/>
    <n v="7"/>
    <n v="220100"/>
    <n v="148900"/>
    <s v="Mateo Pérez"/>
    <s v="Centro"/>
    <n v="1540700"/>
    <n v="1042300"/>
    <n v="498400"/>
  </r>
  <r>
    <s v="V0454"/>
    <x v="160"/>
    <x v="8"/>
    <s v="Tecnología"/>
    <n v="7"/>
    <n v="224800"/>
    <n v="145300"/>
    <s v="Valentina López"/>
    <s v="Centro"/>
    <n v="1573600"/>
    <n v="1017100"/>
    <n v="556500"/>
  </r>
  <r>
    <s v="V0343"/>
    <x v="161"/>
    <x v="3"/>
    <s v="Accesorios"/>
    <n v="6"/>
    <n v="52400"/>
    <n v="26200"/>
    <s v="Tomás Ruiz"/>
    <s v="Buenos Aires"/>
    <n v="314400"/>
    <n v="157200"/>
    <n v="157200"/>
  </r>
  <r>
    <s v="V0160"/>
    <x v="162"/>
    <x v="3"/>
    <s v="Accesorios"/>
    <n v="5"/>
    <n v="48500"/>
    <n v="26700"/>
    <s v="Valentina López"/>
    <s v="Noroeste"/>
    <n v="242500"/>
    <n v="133500"/>
    <n v="109000"/>
  </r>
  <r>
    <s v="V0414"/>
    <x v="163"/>
    <x v="2"/>
    <s v="Accesorios"/>
    <n v="3"/>
    <n v="45100"/>
    <n v="22300"/>
    <s v="Mateo Pérez"/>
    <s v="Patagonia"/>
    <n v="135300"/>
    <n v="66900"/>
    <n v="68400"/>
  </r>
  <r>
    <s v="V0422"/>
    <x v="164"/>
    <x v="7"/>
    <s v="Tecnología"/>
    <n v="6"/>
    <n v="612600"/>
    <n v="462300"/>
    <s v="Lucía Gómez"/>
    <s v="Noroeste"/>
    <n v="3675600"/>
    <n v="2773800"/>
    <n v="901800"/>
  </r>
  <r>
    <s v="V0155"/>
    <x v="164"/>
    <x v="7"/>
    <s v="Tecnología"/>
    <n v="2"/>
    <n v="604100"/>
    <n v="486700"/>
    <s v="Sofía Díaz"/>
    <s v="Buenos Aires"/>
    <n v="1208200"/>
    <n v="973400"/>
    <n v="234800"/>
  </r>
  <r>
    <s v="V0117"/>
    <x v="164"/>
    <x v="3"/>
    <s v="Accesorios"/>
    <n v="4"/>
    <n v="46200"/>
    <n v="26200"/>
    <s v="Sofía Díaz"/>
    <s v="Buenos Aires"/>
    <n v="184800"/>
    <n v="104800"/>
    <n v="80000"/>
  </r>
  <r>
    <s v="V0395"/>
    <x v="165"/>
    <x v="7"/>
    <s v="Tecnología"/>
    <n v="6"/>
    <n v="657600"/>
    <n v="470300"/>
    <s v="Tomás Ruiz"/>
    <s v="Centro"/>
    <n v="3945600"/>
    <n v="2821800"/>
    <n v="1123800"/>
  </r>
  <r>
    <s v="V0317"/>
    <x v="165"/>
    <x v="6"/>
    <s v="Accesorios"/>
    <n v="2"/>
    <n v="32300"/>
    <n v="17300"/>
    <s v="Sofía Díaz"/>
    <s v="Buenos Aires"/>
    <n v="64600"/>
    <n v="34600"/>
    <n v="30000"/>
  </r>
  <r>
    <s v="V0349"/>
    <x v="166"/>
    <x v="4"/>
    <s v="Muebles"/>
    <n v="2"/>
    <n v="178700"/>
    <n v="115800"/>
    <s v="Sofía Díaz"/>
    <s v="Buenos Aires"/>
    <n v="357400"/>
    <n v="231600"/>
    <n v="125800"/>
  </r>
  <r>
    <s v="V0187"/>
    <x v="167"/>
    <x v="6"/>
    <s v="Accesorios"/>
    <n v="3"/>
    <n v="33400"/>
    <n v="17800"/>
    <s v="Mateo Pérez"/>
    <s v="Centro"/>
    <n v="100200"/>
    <n v="53400"/>
    <n v="46800"/>
  </r>
  <r>
    <s v="V0048"/>
    <x v="168"/>
    <x v="6"/>
    <s v="Accesorios"/>
    <n v="4"/>
    <n v="36100"/>
    <n v="17700"/>
    <s v="Tomás Ruiz"/>
    <s v="Cuyo"/>
    <n v="144400"/>
    <n v="70800"/>
    <n v="73600"/>
  </r>
  <r>
    <s v="V0180"/>
    <x v="169"/>
    <x v="3"/>
    <s v="Accesorios"/>
    <n v="7"/>
    <n v="45600"/>
    <n v="26000"/>
    <s v="Tomás Ruiz"/>
    <s v="Patagonia"/>
    <n v="319200"/>
    <n v="182000"/>
    <n v="137200"/>
  </r>
  <r>
    <s v="V0304"/>
    <x v="170"/>
    <x v="0"/>
    <s v="Accesorios"/>
    <n v="1"/>
    <n v="22200"/>
    <n v="10400"/>
    <s v="Valentina López"/>
    <s v="Buenos Aires"/>
    <n v="22200"/>
    <n v="10400"/>
    <n v="11800"/>
  </r>
  <r>
    <s v="V0134"/>
    <x v="171"/>
    <x v="6"/>
    <s v="Accesorios"/>
    <n v="3"/>
    <n v="32400"/>
    <n v="18200"/>
    <s v="Sofía Díaz"/>
    <s v="Patagonia"/>
    <n v="97200"/>
    <n v="54600"/>
    <n v="42600"/>
  </r>
  <r>
    <s v="V0396"/>
    <x v="172"/>
    <x v="0"/>
    <s v="Accesorios"/>
    <n v="5"/>
    <n v="22000"/>
    <n v="9900"/>
    <s v="Valentina López"/>
    <s v="Buenos Aires"/>
    <n v="110000"/>
    <n v="49500"/>
    <n v="60500"/>
  </r>
  <r>
    <s v="V0199"/>
    <x v="172"/>
    <x v="8"/>
    <s v="Tecnología"/>
    <n v="7"/>
    <n v="241800"/>
    <n v="153200"/>
    <s v="Lucía Gómez"/>
    <s v="Buenos Aires"/>
    <n v="1692600"/>
    <n v="1072400"/>
    <n v="620200"/>
  </r>
  <r>
    <s v="V0289"/>
    <x v="172"/>
    <x v="0"/>
    <s v="Accesorios"/>
    <n v="6"/>
    <n v="21000"/>
    <n v="10100"/>
    <s v="Sofía Díaz"/>
    <s v="Centro"/>
    <n v="126000"/>
    <n v="60600"/>
    <n v="65400"/>
  </r>
  <r>
    <s v="V0210"/>
    <x v="173"/>
    <x v="0"/>
    <s v="Accesorios"/>
    <n v="3"/>
    <n v="22200"/>
    <n v="9900"/>
    <s v="Tomás Ruiz"/>
    <s v="Noroeste"/>
    <n v="66600"/>
    <n v="29700"/>
    <n v="36900"/>
  </r>
  <r>
    <s v="V0170"/>
    <x v="174"/>
    <x v="2"/>
    <s v="Accesorios"/>
    <n v="6"/>
    <n v="42200"/>
    <n v="22700"/>
    <s v="Lucía Gómez"/>
    <s v="Cuyo"/>
    <n v="253200"/>
    <n v="136200"/>
    <n v="117000"/>
  </r>
  <r>
    <s v="V0110"/>
    <x v="175"/>
    <x v="2"/>
    <s v="Accesorios"/>
    <n v="6"/>
    <n v="42500"/>
    <n v="22700"/>
    <s v="Mateo Pérez"/>
    <s v="Cuyo"/>
    <n v="255000"/>
    <n v="136200"/>
    <n v="118800"/>
  </r>
  <r>
    <s v="V0171"/>
    <x v="175"/>
    <x v="6"/>
    <s v="Accesorios"/>
    <n v="4"/>
    <n v="37600"/>
    <n v="18100"/>
    <s v="Tomás Ruiz"/>
    <s v="Centro"/>
    <n v="150400"/>
    <n v="72400"/>
    <n v="78000"/>
  </r>
  <r>
    <s v="V0466"/>
    <x v="176"/>
    <x v="5"/>
    <s v="Muebles"/>
    <n v="3"/>
    <n v="279200"/>
    <n v="170100"/>
    <s v="Mateo Pérez"/>
    <s v="Buenos Aires"/>
    <n v="837600"/>
    <n v="510300"/>
    <n v="327300"/>
  </r>
  <r>
    <s v="V0416"/>
    <x v="176"/>
    <x v="6"/>
    <s v="Accesorios"/>
    <n v="2"/>
    <n v="37500"/>
    <n v="17400"/>
    <s v="Tomás Ruiz"/>
    <s v="Noroeste"/>
    <n v="75000"/>
    <n v="34800"/>
    <n v="40200"/>
  </r>
  <r>
    <s v="V0195"/>
    <x v="176"/>
    <x v="8"/>
    <s v="Tecnología"/>
    <n v="5"/>
    <n v="235800"/>
    <n v="154700"/>
    <s v="Valentina López"/>
    <s v="Centro"/>
    <n v="1179000"/>
    <n v="773500"/>
    <n v="405500"/>
  </r>
  <r>
    <s v="V0369"/>
    <x v="176"/>
    <x v="6"/>
    <s v="Accesorios"/>
    <n v="6"/>
    <n v="37300"/>
    <n v="17400"/>
    <s v="Lucía Gómez"/>
    <s v="Buenos Aires"/>
    <n v="223800"/>
    <n v="104400"/>
    <n v="119400"/>
  </r>
  <r>
    <s v="V0336"/>
    <x v="177"/>
    <x v="4"/>
    <s v="Muebles"/>
    <n v="7"/>
    <n v="172000"/>
    <n v="117400"/>
    <s v="Sofía Díaz"/>
    <s v="Buenos Aires"/>
    <n v="1204000"/>
    <n v="821800"/>
    <n v="382200"/>
  </r>
  <r>
    <s v="V0127"/>
    <x v="177"/>
    <x v="6"/>
    <s v="Accesorios"/>
    <n v="5"/>
    <n v="36300"/>
    <n v="17400"/>
    <s v="Tomás Ruiz"/>
    <s v="Patagonia"/>
    <n v="181500"/>
    <n v="87000"/>
    <n v="94500"/>
  </r>
  <r>
    <s v="V0234"/>
    <x v="177"/>
    <x v="4"/>
    <s v="Muebles"/>
    <n v="7"/>
    <n v="195700"/>
    <n v="119100"/>
    <s v="Sofía Díaz"/>
    <s v="Cuyo"/>
    <n v="1369900"/>
    <n v="833700"/>
    <n v="536200"/>
  </r>
  <r>
    <s v="V0068"/>
    <x v="178"/>
    <x v="6"/>
    <s v="Accesorios"/>
    <n v="7"/>
    <n v="34300"/>
    <n v="17500"/>
    <s v="Mateo Pérez"/>
    <s v="Noroeste"/>
    <n v="240100"/>
    <n v="122500"/>
    <n v="117600"/>
  </r>
  <r>
    <s v="V0129"/>
    <x v="179"/>
    <x v="7"/>
    <s v="Tecnología"/>
    <n v="1"/>
    <n v="614600"/>
    <n v="456900"/>
    <s v="Mateo Pérez"/>
    <s v="Centro"/>
    <n v="614600"/>
    <n v="456900"/>
    <n v="157700"/>
  </r>
  <r>
    <s v="V0220"/>
    <x v="180"/>
    <x v="6"/>
    <s v="Accesorios"/>
    <n v="1"/>
    <n v="38100"/>
    <n v="17400"/>
    <s v="Valentina López"/>
    <s v="Patagonia"/>
    <n v="38100"/>
    <n v="17400"/>
    <n v="20700"/>
  </r>
  <r>
    <s v="V0204"/>
    <x v="180"/>
    <x v="8"/>
    <s v="Tecnología"/>
    <n v="7"/>
    <n v="213300"/>
    <n v="149000"/>
    <s v="Sofía Díaz"/>
    <s v="Buenos Aires"/>
    <n v="1493100"/>
    <n v="1043000"/>
    <n v="450100"/>
  </r>
  <r>
    <s v="V0088"/>
    <x v="180"/>
    <x v="0"/>
    <s v="Accesorios"/>
    <n v="7"/>
    <n v="20400"/>
    <n v="9900"/>
    <s v="Mateo Pérez"/>
    <s v="Patagonia"/>
    <n v="142800"/>
    <n v="69300"/>
    <n v="73500"/>
  </r>
  <r>
    <s v="V0254"/>
    <x v="180"/>
    <x v="6"/>
    <s v="Accesorios"/>
    <n v="5"/>
    <n v="37200"/>
    <n v="17400"/>
    <s v="Mateo Pérez"/>
    <s v="Noroeste"/>
    <n v="186000"/>
    <n v="87000"/>
    <n v="99000"/>
  </r>
  <r>
    <s v="V0397"/>
    <x v="181"/>
    <x v="1"/>
    <s v="Tecnología"/>
    <n v="7"/>
    <n v="299100"/>
    <n v="225500"/>
    <s v="Mateo Pérez"/>
    <s v="Noroeste"/>
    <n v="2093700"/>
    <n v="1578500"/>
    <n v="515200"/>
  </r>
  <r>
    <s v="V0437"/>
    <x v="181"/>
    <x v="8"/>
    <s v="Tecnología"/>
    <n v="4"/>
    <n v="239300"/>
    <n v="150900"/>
    <s v="Tomás Ruiz"/>
    <s v="Centro"/>
    <n v="957200"/>
    <n v="603600"/>
    <n v="353600"/>
  </r>
  <r>
    <s v="V0223"/>
    <x v="181"/>
    <x v="5"/>
    <s v="Muebles"/>
    <n v="6"/>
    <n v="277400"/>
    <n v="168900"/>
    <s v="Sofía Díaz"/>
    <s v="Centro"/>
    <n v="1664400"/>
    <n v="1013400"/>
    <n v="651000"/>
  </r>
  <r>
    <s v="V0276"/>
    <x v="182"/>
    <x v="6"/>
    <s v="Accesorios"/>
    <n v="3"/>
    <n v="37000"/>
    <n v="18000"/>
    <s v="Mateo Pérez"/>
    <s v="Buenos Aires"/>
    <n v="111000"/>
    <n v="54000"/>
    <n v="57000"/>
  </r>
  <r>
    <s v="V0049"/>
    <x v="183"/>
    <x v="5"/>
    <s v="Muebles"/>
    <n v="1"/>
    <n v="269200"/>
    <n v="173800"/>
    <s v="Tomás Ruiz"/>
    <s v="Buenos Aires"/>
    <n v="269200"/>
    <n v="173800"/>
    <n v="95400"/>
  </r>
  <r>
    <s v="V0131"/>
    <x v="184"/>
    <x v="8"/>
    <s v="Tecnología"/>
    <n v="7"/>
    <n v="213700"/>
    <n v="145700"/>
    <s v="Valentina López"/>
    <s v="Buenos Aires"/>
    <n v="1495900"/>
    <n v="1019900"/>
    <n v="476000"/>
  </r>
  <r>
    <s v="V0305"/>
    <x v="185"/>
    <x v="1"/>
    <s v="Tecnología"/>
    <n v="1"/>
    <n v="293600"/>
    <n v="231000"/>
    <s v="Lucía Gómez"/>
    <s v="Noroeste"/>
    <n v="293600"/>
    <n v="231000"/>
    <n v="62600"/>
  </r>
  <r>
    <s v="V0426"/>
    <x v="185"/>
    <x v="3"/>
    <s v="Accesorios"/>
    <n v="3"/>
    <n v="49900"/>
    <n v="25900"/>
    <s v="Lucía Gómez"/>
    <s v="Cuyo"/>
    <n v="149700"/>
    <n v="77700"/>
    <n v="72000"/>
  </r>
  <r>
    <s v="V0328"/>
    <x v="186"/>
    <x v="0"/>
    <s v="Accesorios"/>
    <n v="5"/>
    <n v="21200"/>
    <n v="10000"/>
    <s v="Lucía Gómez"/>
    <s v="Patagonia"/>
    <n v="106000"/>
    <n v="50000"/>
    <n v="56000"/>
  </r>
  <r>
    <s v="V0071"/>
    <x v="186"/>
    <x v="8"/>
    <s v="Tecnología"/>
    <n v="3"/>
    <n v="232500"/>
    <n v="150600"/>
    <s v="Tomás Ruiz"/>
    <s v="Centro"/>
    <n v="697500"/>
    <n v="451800"/>
    <n v="245700"/>
  </r>
  <r>
    <s v="V0273"/>
    <x v="186"/>
    <x v="7"/>
    <s v="Tecnología"/>
    <n v="3"/>
    <n v="602600"/>
    <n v="478600"/>
    <s v="Sofía Díaz"/>
    <s v="Noroeste"/>
    <n v="1807800"/>
    <n v="1435800"/>
    <n v="372000"/>
  </r>
  <r>
    <s v="V0423"/>
    <x v="186"/>
    <x v="7"/>
    <s v="Tecnología"/>
    <n v="4"/>
    <n v="704900"/>
    <n v="454500"/>
    <s v="Valentina López"/>
    <s v="Buenos Aires"/>
    <n v="2819600"/>
    <n v="1818000"/>
    <n v="1001600"/>
  </r>
  <r>
    <s v="V0297"/>
    <x v="187"/>
    <x v="9"/>
    <s v="Muebles"/>
    <n v="2"/>
    <n v="27200"/>
    <n v="14300"/>
    <s v="Sofía Díaz"/>
    <s v="Noroeste"/>
    <n v="54400"/>
    <n v="28600"/>
    <n v="25800"/>
  </r>
  <r>
    <s v="V0326"/>
    <x v="187"/>
    <x v="5"/>
    <s v="Muebles"/>
    <n v="1"/>
    <n v="276300"/>
    <n v="178500"/>
    <s v="Mateo Pérez"/>
    <s v="Noroeste"/>
    <n v="276300"/>
    <n v="178500"/>
    <n v="97800"/>
  </r>
  <r>
    <s v="V0062"/>
    <x v="188"/>
    <x v="0"/>
    <s v="Accesorios"/>
    <n v="2"/>
    <n v="24100"/>
    <n v="10300"/>
    <s v="Lucía Gómez"/>
    <s v="Centro"/>
    <n v="48200"/>
    <n v="20600"/>
    <n v="27600"/>
  </r>
  <r>
    <s v="V0148"/>
    <x v="189"/>
    <x v="0"/>
    <s v="Accesorios"/>
    <n v="7"/>
    <n v="20400"/>
    <n v="10000"/>
    <s v="Valentina López"/>
    <s v="Centro"/>
    <n v="142800"/>
    <n v="70000"/>
    <n v="72800"/>
  </r>
  <r>
    <s v="V0182"/>
    <x v="190"/>
    <x v="2"/>
    <s v="Accesorios"/>
    <n v="1"/>
    <n v="43300"/>
    <n v="22100"/>
    <s v="Tomás Ruiz"/>
    <s v="Buenos Aires"/>
    <n v="43300"/>
    <n v="22100"/>
    <n v="21200"/>
  </r>
  <r>
    <s v="V0471"/>
    <x v="191"/>
    <x v="0"/>
    <s v="Accesorios"/>
    <n v="7"/>
    <n v="21700"/>
    <n v="10300"/>
    <s v="Lucía Gómez"/>
    <s v="Buenos Aires"/>
    <n v="151900"/>
    <n v="72100"/>
    <n v="79800"/>
  </r>
  <r>
    <s v="V0302"/>
    <x v="192"/>
    <x v="8"/>
    <s v="Tecnología"/>
    <n v="4"/>
    <n v="224100"/>
    <n v="149100"/>
    <s v="Sofía Díaz"/>
    <s v="Buenos Aires"/>
    <n v="896400"/>
    <n v="596400"/>
    <n v="300000"/>
  </r>
  <r>
    <s v="V0347"/>
    <x v="192"/>
    <x v="2"/>
    <s v="Accesorios"/>
    <n v="4"/>
    <n v="42700"/>
    <n v="23000"/>
    <s v="Tomás Ruiz"/>
    <s v="Buenos Aires"/>
    <n v="170800"/>
    <n v="92000"/>
    <n v="78800"/>
  </r>
  <r>
    <s v="V0193"/>
    <x v="193"/>
    <x v="8"/>
    <s v="Tecnología"/>
    <n v="3"/>
    <n v="223500"/>
    <n v="147800"/>
    <s v="Mateo Pérez"/>
    <s v="Buenos Aires"/>
    <n v="670500"/>
    <n v="443400"/>
    <n v="227100"/>
  </r>
  <r>
    <s v="V0041"/>
    <x v="194"/>
    <x v="0"/>
    <s v="Accesorios"/>
    <n v="2"/>
    <n v="24100"/>
    <n v="10000"/>
    <s v="Valentina López"/>
    <s v="Cuyo"/>
    <n v="48200"/>
    <n v="20000"/>
    <n v="28200"/>
  </r>
  <r>
    <s v="V0064"/>
    <x v="194"/>
    <x v="3"/>
    <s v="Accesorios"/>
    <n v="4"/>
    <n v="46900"/>
    <n v="26100"/>
    <s v="Sofía Díaz"/>
    <s v="Buenos Aires"/>
    <n v="187600"/>
    <n v="104400"/>
    <n v="83200"/>
  </r>
  <r>
    <s v="V0045"/>
    <x v="195"/>
    <x v="1"/>
    <s v="Tecnología"/>
    <n v="5"/>
    <n v="326100"/>
    <n v="216600"/>
    <s v="Valentina López"/>
    <s v="Buenos Aires"/>
    <n v="1630500"/>
    <n v="1083000"/>
    <n v="547500"/>
  </r>
  <r>
    <s v="V0077"/>
    <x v="196"/>
    <x v="6"/>
    <s v="Accesorios"/>
    <n v="6"/>
    <n v="33200"/>
    <n v="18200"/>
    <s v="Sofía Díaz"/>
    <s v="Centro"/>
    <n v="199200"/>
    <n v="109200"/>
    <n v="90000"/>
  </r>
  <r>
    <s v="V0316"/>
    <x v="196"/>
    <x v="6"/>
    <s v="Accesorios"/>
    <n v="2"/>
    <n v="33700"/>
    <n v="17500"/>
    <s v="Lucía Gómez"/>
    <s v="Buenos Aires"/>
    <n v="67400"/>
    <n v="35000"/>
    <n v="32400"/>
  </r>
  <r>
    <s v="V0275"/>
    <x v="197"/>
    <x v="5"/>
    <s v="Muebles"/>
    <n v="1"/>
    <n v="273300"/>
    <n v="181300"/>
    <s v="Sofía Díaz"/>
    <s v="Buenos Aires"/>
    <n v="273300"/>
    <n v="181300"/>
    <n v="92000"/>
  </r>
  <r>
    <s v="V0196"/>
    <x v="197"/>
    <x v="8"/>
    <s v="Tecnología"/>
    <n v="4"/>
    <n v="219600"/>
    <n v="153200"/>
    <s v="Mateo Pérez"/>
    <s v="Patagonia"/>
    <n v="878400"/>
    <n v="612800"/>
    <n v="265600"/>
  </r>
  <r>
    <s v="V0331"/>
    <x v="198"/>
    <x v="3"/>
    <s v="Accesorios"/>
    <n v="7"/>
    <n v="52600"/>
    <n v="25800"/>
    <s v="Valentina López"/>
    <s v="Buenos Aires"/>
    <n v="368200"/>
    <n v="180600"/>
    <n v="187600"/>
  </r>
  <r>
    <s v="V0118"/>
    <x v="199"/>
    <x v="3"/>
    <s v="Accesorios"/>
    <n v="1"/>
    <n v="52200"/>
    <n v="25500"/>
    <s v="Sofía Díaz"/>
    <s v="Buenos Aires"/>
    <n v="52200"/>
    <n v="25500"/>
    <n v="26700"/>
  </r>
  <r>
    <s v="V0207"/>
    <x v="199"/>
    <x v="8"/>
    <s v="Tecnología"/>
    <n v="7"/>
    <n v="219200"/>
    <n v="154600"/>
    <s v="Valentina López"/>
    <s v="Centro"/>
    <n v="1534400"/>
    <n v="1082200"/>
    <n v="452200"/>
  </r>
  <r>
    <s v="V0136"/>
    <x v="200"/>
    <x v="7"/>
    <s v="Tecnología"/>
    <n v="2"/>
    <n v="610700"/>
    <n v="451700"/>
    <s v="Sofía Díaz"/>
    <s v="Cuyo"/>
    <n v="1221400"/>
    <n v="903400"/>
    <n v="318000"/>
  </r>
  <r>
    <s v="V0033"/>
    <x v="201"/>
    <x v="6"/>
    <s v="Accesorios"/>
    <n v="2"/>
    <n v="35600"/>
    <n v="18400"/>
    <s v="Tomás Ruiz"/>
    <s v="Cuyo"/>
    <n v="71200"/>
    <n v="36800"/>
    <n v="34400"/>
  </r>
  <r>
    <s v="V0217"/>
    <x v="202"/>
    <x v="8"/>
    <s v="Tecnología"/>
    <n v="3"/>
    <n v="208000"/>
    <n v="150300"/>
    <s v="Valentina López"/>
    <s v="Buenos Aires"/>
    <n v="624000"/>
    <n v="450900"/>
    <n v="173100"/>
  </r>
  <r>
    <s v="V0009"/>
    <x v="202"/>
    <x v="8"/>
    <s v="Tecnología"/>
    <n v="5"/>
    <n v="205300"/>
    <n v="145600"/>
    <s v="Tomás Ruiz"/>
    <s v="Patagonia"/>
    <n v="1026500"/>
    <n v="728000"/>
    <n v="298500"/>
  </r>
  <r>
    <s v="V0231"/>
    <x v="202"/>
    <x v="8"/>
    <s v="Tecnología"/>
    <n v="7"/>
    <n v="220400"/>
    <n v="154500"/>
    <s v="Lucía Gómez"/>
    <s v="Buenos Aires"/>
    <n v="1542800"/>
    <n v="1081500"/>
    <n v="461300"/>
  </r>
  <r>
    <s v="V0002"/>
    <x v="203"/>
    <x v="0"/>
    <s v="Accesorios"/>
    <n v="2"/>
    <n v="23500"/>
    <n v="9900"/>
    <s v="Mateo Pérez"/>
    <s v="Buenos Aires"/>
    <n v="47000"/>
    <n v="19800"/>
    <n v="27200"/>
  </r>
  <r>
    <s v="V0348"/>
    <x v="203"/>
    <x v="6"/>
    <s v="Accesorios"/>
    <n v="4"/>
    <n v="35800"/>
    <n v="17400"/>
    <s v="Mateo Pérez"/>
    <s v="Noroeste"/>
    <n v="143200"/>
    <n v="69600"/>
    <n v="73600"/>
  </r>
  <r>
    <s v="V0281"/>
    <x v="204"/>
    <x v="7"/>
    <s v="Tecnología"/>
    <n v="3"/>
    <n v="607200"/>
    <n v="465700"/>
    <s v="Mateo Pérez"/>
    <s v="Buenos Aires"/>
    <n v="1821600"/>
    <n v="1397100"/>
    <n v="424500"/>
  </r>
  <r>
    <s v="V0448"/>
    <x v="204"/>
    <x v="4"/>
    <s v="Muebles"/>
    <n v="1"/>
    <n v="194200"/>
    <n v="117100"/>
    <s v="Tomás Ruiz"/>
    <s v="Patagonia"/>
    <n v="194200"/>
    <n v="117100"/>
    <n v="77100"/>
  </r>
  <r>
    <s v="V0393"/>
    <x v="205"/>
    <x v="4"/>
    <s v="Muebles"/>
    <n v="5"/>
    <n v="184600"/>
    <n v="117600"/>
    <s v="Mateo Pérez"/>
    <s v="Buenos Aires"/>
    <n v="923000"/>
    <n v="588000"/>
    <n v="335000"/>
  </r>
  <r>
    <s v="V0280"/>
    <x v="205"/>
    <x v="1"/>
    <s v="Tecnología"/>
    <n v="1"/>
    <n v="335300"/>
    <n v="233900"/>
    <s v="Tomás Ruiz"/>
    <s v="Buenos Aires"/>
    <n v="335300"/>
    <n v="233900"/>
    <n v="101400"/>
  </r>
  <r>
    <s v="V0036"/>
    <x v="206"/>
    <x v="8"/>
    <s v="Tecnología"/>
    <n v="2"/>
    <n v="221900"/>
    <n v="150300"/>
    <s v="Sofía Díaz"/>
    <s v="Buenos Aires"/>
    <n v="443800"/>
    <n v="300600"/>
    <n v="143200"/>
  </r>
  <r>
    <s v="V0138"/>
    <x v="206"/>
    <x v="0"/>
    <s v="Accesorios"/>
    <n v="2"/>
    <n v="21800"/>
    <n v="10200"/>
    <s v="Sofía Díaz"/>
    <s v="Patagonia"/>
    <n v="43600"/>
    <n v="20400"/>
    <n v="23200"/>
  </r>
  <r>
    <s v="V0233"/>
    <x v="207"/>
    <x v="9"/>
    <s v="Muebles"/>
    <n v="7"/>
    <n v="26200"/>
    <n v="13600"/>
    <s v="Lucía Gómez"/>
    <s v="Buenos Aires"/>
    <n v="183400"/>
    <n v="95200"/>
    <n v="88200"/>
  </r>
  <r>
    <s v="V0065"/>
    <x v="208"/>
    <x v="4"/>
    <s v="Muebles"/>
    <n v="4"/>
    <n v="183800"/>
    <n v="115100"/>
    <s v="Sofía Díaz"/>
    <s v="Cuyo"/>
    <n v="735200"/>
    <n v="460400"/>
    <n v="274800"/>
  </r>
  <r>
    <s v="V0377"/>
    <x v="208"/>
    <x v="2"/>
    <s v="Accesorios"/>
    <n v="7"/>
    <n v="44900"/>
    <n v="22600"/>
    <s v="Lucía Gómez"/>
    <s v="Buenos Aires"/>
    <n v="314300"/>
    <n v="158200"/>
    <n v="156100"/>
  </r>
  <r>
    <s v="V0097"/>
    <x v="209"/>
    <x v="6"/>
    <s v="Accesorios"/>
    <n v="6"/>
    <n v="33300"/>
    <n v="18500"/>
    <s v="Valentina López"/>
    <s v="Buenos Aires"/>
    <n v="199800"/>
    <n v="111000"/>
    <n v="88800"/>
  </r>
  <r>
    <s v="V0073"/>
    <x v="210"/>
    <x v="1"/>
    <s v="Tecnología"/>
    <n v="6"/>
    <n v="295100"/>
    <n v="227800"/>
    <s v="Mateo Pérez"/>
    <s v="Noroeste"/>
    <n v="1770600"/>
    <n v="1366800"/>
    <n v="403800"/>
  </r>
  <r>
    <s v="V0300"/>
    <x v="211"/>
    <x v="5"/>
    <s v="Muebles"/>
    <n v="1"/>
    <n v="240300"/>
    <n v="168800"/>
    <s v="Mateo Pérez"/>
    <s v="Buenos Aires"/>
    <n v="240300"/>
    <n v="168800"/>
    <n v="71500"/>
  </r>
  <r>
    <s v="V0203"/>
    <x v="211"/>
    <x v="0"/>
    <s v="Accesorios"/>
    <n v="2"/>
    <n v="23600"/>
    <n v="9700"/>
    <s v="Mateo Pérez"/>
    <s v="Patagonia"/>
    <n v="47200"/>
    <n v="19400"/>
    <n v="27800"/>
  </r>
  <r>
    <s v="V0133"/>
    <x v="212"/>
    <x v="4"/>
    <s v="Muebles"/>
    <n v="7"/>
    <n v="182500"/>
    <n v="113000"/>
    <s v="Mateo Pérez"/>
    <s v="Patagonia"/>
    <n v="1277500"/>
    <n v="791000"/>
    <n v="486500"/>
  </r>
  <r>
    <s v="V0274"/>
    <x v="212"/>
    <x v="4"/>
    <s v="Muebles"/>
    <n v="6"/>
    <n v="167000"/>
    <n v="110400"/>
    <s v="Lucía Gómez"/>
    <s v="Cuyo"/>
    <n v="1002000"/>
    <n v="662400"/>
    <n v="339600"/>
  </r>
  <r>
    <s v="V0147"/>
    <x v="213"/>
    <x v="6"/>
    <s v="Accesorios"/>
    <n v="5"/>
    <n v="38100"/>
    <n v="18700"/>
    <s v="Valentina López"/>
    <s v="Patagonia"/>
    <n v="190500"/>
    <n v="93500"/>
    <n v="97000"/>
  </r>
  <r>
    <s v="V0058"/>
    <x v="214"/>
    <x v="4"/>
    <s v="Muebles"/>
    <n v="7"/>
    <n v="193500"/>
    <n v="119000"/>
    <s v="Mateo Pérez"/>
    <s v="Buenos Aires"/>
    <n v="1354500"/>
    <n v="833000"/>
    <n v="521500"/>
  </r>
  <r>
    <s v="V0061"/>
    <x v="214"/>
    <x v="5"/>
    <s v="Muebles"/>
    <n v="2"/>
    <n v="259800"/>
    <n v="181800"/>
    <s v="Sofía Díaz"/>
    <s v="Patagonia"/>
    <n v="519600"/>
    <n v="363600"/>
    <n v="156000"/>
  </r>
  <r>
    <s v="V0338"/>
    <x v="215"/>
    <x v="3"/>
    <s v="Accesorios"/>
    <n v="2"/>
    <n v="50400"/>
    <n v="25100"/>
    <s v="Lucía Gómez"/>
    <s v="Buenos Aires"/>
    <n v="100800"/>
    <n v="50200"/>
    <n v="50600"/>
  </r>
  <r>
    <s v="V0277"/>
    <x v="215"/>
    <x v="6"/>
    <s v="Accesorios"/>
    <n v="2"/>
    <n v="35300"/>
    <n v="17900"/>
    <s v="Lucía Gómez"/>
    <s v="Centro"/>
    <n v="70600"/>
    <n v="35800"/>
    <n v="34800"/>
  </r>
  <r>
    <s v="V0468"/>
    <x v="216"/>
    <x v="2"/>
    <s v="Accesorios"/>
    <n v="6"/>
    <n v="44200"/>
    <n v="22500"/>
    <s v="Lucía Gómez"/>
    <s v="Cuyo"/>
    <n v="265200"/>
    <n v="135000"/>
    <n v="130200"/>
  </r>
  <r>
    <s v="V0241"/>
    <x v="216"/>
    <x v="1"/>
    <s v="Tecnología"/>
    <n v="6"/>
    <n v="321800"/>
    <n v="217700"/>
    <s v="Tomás Ruiz"/>
    <s v="Noroeste"/>
    <n v="1930800"/>
    <n v="1306200"/>
    <n v="624600"/>
  </r>
  <r>
    <s v="V0312"/>
    <x v="217"/>
    <x v="0"/>
    <s v="Accesorios"/>
    <n v="5"/>
    <n v="21200"/>
    <n v="9900"/>
    <s v="Sofía Díaz"/>
    <s v="Patagonia"/>
    <n v="106000"/>
    <n v="49500"/>
    <n v="56500"/>
  </r>
  <r>
    <s v="V0497"/>
    <x v="217"/>
    <x v="0"/>
    <s v="Accesorios"/>
    <n v="7"/>
    <n v="23300"/>
    <n v="9900"/>
    <s v="Valentina López"/>
    <s v="Centro"/>
    <n v="163100"/>
    <n v="69300"/>
    <n v="93800"/>
  </r>
  <r>
    <s v="V0440"/>
    <x v="217"/>
    <x v="4"/>
    <s v="Muebles"/>
    <n v="2"/>
    <n v="173400"/>
    <n v="111200"/>
    <s v="Mateo Pérez"/>
    <s v="Noroeste"/>
    <n v="346800"/>
    <n v="222400"/>
    <n v="124400"/>
  </r>
  <r>
    <s v="V0211"/>
    <x v="218"/>
    <x v="5"/>
    <s v="Muebles"/>
    <n v="4"/>
    <n v="251200"/>
    <n v="175000"/>
    <s v="Tomás Ruiz"/>
    <s v="Centro"/>
    <n v="1004800"/>
    <n v="700000"/>
    <n v="304800"/>
  </r>
  <r>
    <s v="V0415"/>
    <x v="219"/>
    <x v="7"/>
    <s v="Tecnología"/>
    <n v="4"/>
    <n v="706400"/>
    <n v="452200"/>
    <s v="Sofía Díaz"/>
    <s v="Noroeste"/>
    <n v="2825600"/>
    <n v="1808800"/>
    <n v="1016800"/>
  </r>
  <r>
    <s v="V0429"/>
    <x v="220"/>
    <x v="7"/>
    <s v="Tecnología"/>
    <n v="7"/>
    <n v="625200"/>
    <n v="476200"/>
    <s v="Mateo Pérez"/>
    <s v="Centro"/>
    <n v="4376400"/>
    <n v="3333400"/>
    <n v="1043000"/>
  </r>
  <r>
    <s v="V0460"/>
    <x v="221"/>
    <x v="4"/>
    <s v="Muebles"/>
    <n v="6"/>
    <n v="180700"/>
    <n v="116100"/>
    <s v="Mateo Pérez"/>
    <s v="Noroeste"/>
    <n v="1084200"/>
    <n v="696600"/>
    <n v="387600"/>
  </r>
  <r>
    <s v="V0132"/>
    <x v="222"/>
    <x v="2"/>
    <s v="Accesorios"/>
    <n v="1"/>
    <n v="42000"/>
    <n v="22800"/>
    <s v="Sofía Díaz"/>
    <s v="Centro"/>
    <n v="42000"/>
    <n v="22800"/>
    <n v="19200"/>
  </r>
  <r>
    <s v="V0413"/>
    <x v="222"/>
    <x v="7"/>
    <s v="Tecnología"/>
    <n v="6"/>
    <n v="670500"/>
    <n v="477400"/>
    <s v="Tomás Ruiz"/>
    <s v="Buenos Aires"/>
    <n v="4023000"/>
    <n v="2864400"/>
    <n v="1158600"/>
  </r>
  <r>
    <s v="V0253"/>
    <x v="222"/>
    <x v="0"/>
    <s v="Accesorios"/>
    <n v="3"/>
    <n v="22300"/>
    <n v="10300"/>
    <s v="Sofía Díaz"/>
    <s v="Centro"/>
    <n v="66900"/>
    <n v="30900"/>
    <n v="36000"/>
  </r>
  <r>
    <s v="V0012"/>
    <x v="223"/>
    <x v="2"/>
    <s v="Accesorios"/>
    <n v="6"/>
    <n v="45300"/>
    <n v="23300"/>
    <s v="Lucía Gómez"/>
    <s v="Buenos Aires"/>
    <n v="271800"/>
    <n v="139800"/>
    <n v="132000"/>
  </r>
  <r>
    <s v="V0283"/>
    <x v="224"/>
    <x v="8"/>
    <s v="Tecnología"/>
    <n v="7"/>
    <n v="213800"/>
    <n v="146100"/>
    <s v="Tomás Ruiz"/>
    <s v="Cuyo"/>
    <n v="1496600"/>
    <n v="1022700"/>
    <n v="473900"/>
  </r>
  <r>
    <s v="V0087"/>
    <x v="224"/>
    <x v="3"/>
    <s v="Accesorios"/>
    <n v="1"/>
    <n v="47300"/>
    <n v="25400"/>
    <s v="Tomás Ruiz"/>
    <s v="Centro"/>
    <n v="47300"/>
    <n v="25400"/>
    <n v="21900"/>
  </r>
  <r>
    <s v="V0259"/>
    <x v="224"/>
    <x v="7"/>
    <s v="Tecnología"/>
    <n v="5"/>
    <n v="657400"/>
    <n v="478400"/>
    <s v="Valentina López"/>
    <s v="Noroeste"/>
    <n v="3287000"/>
    <n v="2392000"/>
    <n v="895000"/>
  </r>
  <r>
    <s v="V0198"/>
    <x v="225"/>
    <x v="1"/>
    <s v="Tecnología"/>
    <n v="3"/>
    <n v="337100"/>
    <n v="217700"/>
    <s v="Sofía Díaz"/>
    <s v="Cuyo"/>
    <n v="1011300"/>
    <n v="653100"/>
    <n v="358200"/>
  </r>
  <r>
    <s v="V0333"/>
    <x v="226"/>
    <x v="5"/>
    <s v="Muebles"/>
    <n v="1"/>
    <n v="244200"/>
    <n v="171300"/>
    <s v="Valentina López"/>
    <s v="Buenos Aires"/>
    <n v="244200"/>
    <n v="171300"/>
    <n v="72900"/>
  </r>
  <r>
    <s v="V0001"/>
    <x v="227"/>
    <x v="3"/>
    <s v="Accesorios"/>
    <n v="2"/>
    <n v="45900"/>
    <n v="26800"/>
    <s v="Lucía Gómez"/>
    <s v="Buenos Aires"/>
    <n v="91800"/>
    <n v="53600"/>
    <n v="38200"/>
  </r>
  <r>
    <s v="V0218"/>
    <x v="227"/>
    <x v="8"/>
    <s v="Tecnología"/>
    <n v="3"/>
    <n v="209100"/>
    <n v="153800"/>
    <s v="Mateo Pérez"/>
    <s v="Cuyo"/>
    <n v="627300"/>
    <n v="461400"/>
    <n v="165900"/>
  </r>
  <r>
    <s v="V0425"/>
    <x v="228"/>
    <x v="4"/>
    <s v="Muebles"/>
    <n v="1"/>
    <n v="196400"/>
    <n v="114200"/>
    <s v="Sofía Díaz"/>
    <s v="Patagonia"/>
    <n v="196400"/>
    <n v="114200"/>
    <n v="82200"/>
  </r>
  <r>
    <s v="V0230"/>
    <x v="229"/>
    <x v="7"/>
    <s v="Tecnología"/>
    <n v="6"/>
    <n v="610200"/>
    <n v="488800"/>
    <s v="Tomás Ruiz"/>
    <s v="Centro"/>
    <n v="3661200"/>
    <n v="2932800"/>
    <n v="728400"/>
  </r>
  <r>
    <s v="V0025"/>
    <x v="229"/>
    <x v="3"/>
    <s v="Accesorios"/>
    <n v="1"/>
    <n v="49500"/>
    <n v="26200"/>
    <s v="Sofía Díaz"/>
    <s v="Buenos Aires"/>
    <n v="49500"/>
    <n v="26200"/>
    <n v="23300"/>
  </r>
  <r>
    <s v="V0263"/>
    <x v="230"/>
    <x v="6"/>
    <s v="Accesorios"/>
    <n v="5"/>
    <n v="32400"/>
    <n v="18100"/>
    <s v="Sofía Díaz"/>
    <s v="Noroeste"/>
    <n v="162000"/>
    <n v="90500"/>
    <n v="71500"/>
  </r>
  <r>
    <s v="V0040"/>
    <x v="231"/>
    <x v="5"/>
    <s v="Muebles"/>
    <n v="4"/>
    <n v="262300"/>
    <n v="174600"/>
    <s v="Mateo Pérez"/>
    <s v="Centro"/>
    <n v="1049200"/>
    <n v="698400"/>
    <n v="350800"/>
  </r>
  <r>
    <s v="V0096"/>
    <x v="232"/>
    <x v="4"/>
    <s v="Muebles"/>
    <n v="5"/>
    <n v="180300"/>
    <n v="114200"/>
    <s v="Valentina López"/>
    <s v="Centro"/>
    <n v="901500"/>
    <n v="571000"/>
    <n v="330500"/>
  </r>
  <r>
    <s v="V0080"/>
    <x v="233"/>
    <x v="3"/>
    <s v="Accesorios"/>
    <n v="3"/>
    <n v="51900"/>
    <n v="25000"/>
    <s v="Valentina López"/>
    <s v="Noroeste"/>
    <n v="155700"/>
    <n v="75000"/>
    <n v="80700"/>
  </r>
  <r>
    <s v="V0016"/>
    <x v="233"/>
    <x v="8"/>
    <s v="Tecnología"/>
    <n v="4"/>
    <n v="233900"/>
    <n v="147100"/>
    <s v="Sofía Díaz"/>
    <s v="Buenos Aires"/>
    <n v="935600"/>
    <n v="588400"/>
    <n v="347200"/>
  </r>
  <r>
    <s v="V0124"/>
    <x v="234"/>
    <x v="0"/>
    <s v="Accesorios"/>
    <n v="4"/>
    <n v="21600"/>
    <n v="10300"/>
    <s v="Tomás Ruiz"/>
    <s v="Patagonia"/>
    <n v="86400"/>
    <n v="41200"/>
    <n v="45200"/>
  </r>
  <r>
    <s v="V0086"/>
    <x v="234"/>
    <x v="7"/>
    <s v="Tecnología"/>
    <n v="6"/>
    <n v="633100"/>
    <n v="469100"/>
    <s v="Tomás Ruiz"/>
    <s v="Buenos Aires"/>
    <n v="3798600"/>
    <n v="2814600"/>
    <n v="984000"/>
  </r>
  <r>
    <s v="V0499"/>
    <x v="235"/>
    <x v="6"/>
    <s v="Accesorios"/>
    <n v="2"/>
    <n v="33400"/>
    <n v="18000"/>
    <s v="Valentina López"/>
    <s v="Centro"/>
    <n v="66800"/>
    <n v="36000"/>
    <n v="30800"/>
  </r>
  <r>
    <s v="V0092"/>
    <x v="235"/>
    <x v="5"/>
    <s v="Muebles"/>
    <n v="3"/>
    <n v="277100"/>
    <n v="178000"/>
    <s v="Valentina López"/>
    <s v="Centro"/>
    <n v="831300"/>
    <n v="534000"/>
    <n v="297300"/>
  </r>
  <r>
    <s v="V0125"/>
    <x v="235"/>
    <x v="7"/>
    <s v="Tecnología"/>
    <n v="7"/>
    <n v="658800"/>
    <n v="482900"/>
    <s v="Mateo Pérez"/>
    <s v="Buenos Aires"/>
    <n v="4611600"/>
    <n v="3380300"/>
    <n v="1231300"/>
  </r>
  <r>
    <s v="V0024"/>
    <x v="235"/>
    <x v="2"/>
    <s v="Accesorios"/>
    <n v="5"/>
    <n v="40800"/>
    <n v="23100"/>
    <s v="Lucía Gómez"/>
    <s v="Buenos Aires"/>
    <n v="204000"/>
    <n v="115500"/>
    <n v="88500"/>
  </r>
  <r>
    <s v="V0143"/>
    <x v="236"/>
    <x v="2"/>
    <s v="Accesorios"/>
    <n v="5"/>
    <n v="44600"/>
    <n v="23800"/>
    <s v="Tomás Ruiz"/>
    <s v="Buenos Aires"/>
    <n v="223000"/>
    <n v="119000"/>
    <n v="104000"/>
  </r>
  <r>
    <s v="V0162"/>
    <x v="237"/>
    <x v="2"/>
    <s v="Accesorios"/>
    <n v="2"/>
    <n v="45100"/>
    <n v="22800"/>
    <s v="Sofía Díaz"/>
    <s v="Noroeste"/>
    <n v="90200"/>
    <n v="45600"/>
    <n v="44600"/>
  </r>
  <r>
    <s v="V0464"/>
    <x v="238"/>
    <x v="6"/>
    <s v="Accesorios"/>
    <n v="6"/>
    <n v="37400"/>
    <n v="18400"/>
    <s v="Sofía Díaz"/>
    <s v="Buenos Aires"/>
    <n v="224400"/>
    <n v="110400"/>
    <n v="114000"/>
  </r>
  <r>
    <s v="V0157"/>
    <x v="238"/>
    <x v="6"/>
    <s v="Accesorios"/>
    <n v="7"/>
    <n v="32800"/>
    <n v="17900"/>
    <s v="Tomás Ruiz"/>
    <s v="Buenos Aires"/>
    <n v="229600"/>
    <n v="125300"/>
    <n v="104300"/>
  </r>
  <r>
    <s v="V0149"/>
    <x v="238"/>
    <x v="0"/>
    <s v="Accesorios"/>
    <n v="6"/>
    <n v="22400"/>
    <n v="9700"/>
    <s v="Valentina López"/>
    <s v="Buenos Aires"/>
    <n v="134400"/>
    <n v="58200"/>
    <n v="76200"/>
  </r>
  <r>
    <s v="V0007"/>
    <x v="238"/>
    <x v="3"/>
    <s v="Accesorios"/>
    <n v="4"/>
    <n v="44900"/>
    <n v="25200"/>
    <s v="Lucía Gómez"/>
    <s v="Noroeste"/>
    <n v="179600"/>
    <n v="100800"/>
    <n v="78800"/>
  </r>
  <r>
    <s v="V0400"/>
    <x v="239"/>
    <x v="0"/>
    <s v="Accesorios"/>
    <n v="4"/>
    <n v="21400"/>
    <n v="10000"/>
    <s v="Lucía Gómez"/>
    <s v="Buenos Aires"/>
    <n v="85600"/>
    <n v="40000"/>
    <n v="45600"/>
  </r>
  <r>
    <s v="V0126"/>
    <x v="239"/>
    <x v="0"/>
    <s v="Accesorios"/>
    <n v="5"/>
    <n v="22000"/>
    <n v="10400"/>
    <s v="Mateo Pérez"/>
    <s v="Cuyo"/>
    <n v="110000"/>
    <n v="52000"/>
    <n v="58000"/>
  </r>
  <r>
    <s v="V0309"/>
    <x v="239"/>
    <x v="6"/>
    <s v="Accesorios"/>
    <n v="7"/>
    <n v="34800"/>
    <n v="17800"/>
    <s v="Sofía Díaz"/>
    <s v="Noroeste"/>
    <n v="243600"/>
    <n v="124600"/>
    <n v="119000"/>
  </r>
  <r>
    <s v="V0313"/>
    <x v="239"/>
    <x v="8"/>
    <s v="Tecnología"/>
    <n v="4"/>
    <n v="208300"/>
    <n v="154500"/>
    <s v="Lucía Gómez"/>
    <s v="Patagonia"/>
    <n v="833200"/>
    <n v="618000"/>
    <n v="215200"/>
  </r>
  <r>
    <s v="V0042"/>
    <x v="240"/>
    <x v="1"/>
    <s v="Tecnología"/>
    <n v="1"/>
    <n v="295300"/>
    <n v="219900"/>
    <s v="Tomás Ruiz"/>
    <s v="Centro"/>
    <n v="295300"/>
    <n v="219900"/>
    <n v="75400"/>
  </r>
  <r>
    <s v="V0346"/>
    <x v="240"/>
    <x v="3"/>
    <s v="Accesorios"/>
    <n v="3"/>
    <n v="45500"/>
    <n v="25400"/>
    <s v="Mateo Pérez"/>
    <s v="Buenos Aires"/>
    <n v="136500"/>
    <n v="76200"/>
    <n v="60300"/>
  </r>
  <r>
    <s v="V0246"/>
    <x v="241"/>
    <x v="1"/>
    <s v="Tecnología"/>
    <n v="7"/>
    <n v="288600"/>
    <n v="222600"/>
    <s v="Sofía Díaz"/>
    <s v="Noroeste"/>
    <n v="2020200"/>
    <n v="1558200"/>
    <n v="462000"/>
  </r>
  <r>
    <s v="V0291"/>
    <x v="241"/>
    <x v="1"/>
    <s v="Tecnología"/>
    <n v="7"/>
    <n v="306200"/>
    <n v="230900"/>
    <s v="Mateo Pérez"/>
    <s v="Buenos Aires"/>
    <n v="2143400"/>
    <n v="1616300"/>
    <n v="527100"/>
  </r>
  <r>
    <s v="V0418"/>
    <x v="242"/>
    <x v="3"/>
    <s v="Accesorios"/>
    <n v="4"/>
    <n v="48000"/>
    <n v="25700"/>
    <s v="Mateo Pérez"/>
    <s v="Buenos Aires"/>
    <n v="192000"/>
    <n v="102800"/>
    <n v="89200"/>
  </r>
  <r>
    <s v="V0485"/>
    <x v="242"/>
    <x v="7"/>
    <s v="Tecnología"/>
    <n v="6"/>
    <n v="663100"/>
    <n v="470500"/>
    <s v="Mateo Pérez"/>
    <s v="Noroeste"/>
    <n v="3978600"/>
    <n v="2823000"/>
    <n v="1155600"/>
  </r>
  <r>
    <s v="V0279"/>
    <x v="243"/>
    <x v="1"/>
    <s v="Tecnología"/>
    <n v="5"/>
    <n v="309300"/>
    <n v="226800"/>
    <s v="Tomás Ruiz"/>
    <s v="Buenos Aires"/>
    <n v="1546500"/>
    <n v="1134000"/>
    <n v="412500"/>
  </r>
  <r>
    <s v="V0324"/>
    <x v="244"/>
    <x v="0"/>
    <s v="Accesorios"/>
    <n v="6"/>
    <n v="21000"/>
    <n v="9700"/>
    <s v="Tomás Ruiz"/>
    <s v="Buenos Aires"/>
    <n v="126000"/>
    <n v="58200"/>
    <n v="67800"/>
  </r>
  <r>
    <s v="V0213"/>
    <x v="244"/>
    <x v="8"/>
    <s v="Tecnología"/>
    <n v="6"/>
    <n v="224800"/>
    <n v="149000"/>
    <s v="Lucía Gómez"/>
    <s v="Buenos Aires"/>
    <n v="1348800"/>
    <n v="894000"/>
    <n v="454800"/>
  </r>
  <r>
    <s v="V0023"/>
    <x v="245"/>
    <x v="9"/>
    <s v="Muebles"/>
    <n v="2"/>
    <n v="27200"/>
    <n v="14100"/>
    <s v="Sofía Díaz"/>
    <s v="Centro"/>
    <n v="54400"/>
    <n v="28200"/>
    <n v="26200"/>
  </r>
  <r>
    <s v="V0407"/>
    <x v="246"/>
    <x v="6"/>
    <s v="Accesorios"/>
    <n v="2"/>
    <n v="35500"/>
    <n v="18100"/>
    <s v="Tomás Ruiz"/>
    <s v="Noroeste"/>
    <n v="71000"/>
    <n v="36200"/>
    <n v="34800"/>
  </r>
  <r>
    <s v="V0244"/>
    <x v="246"/>
    <x v="0"/>
    <s v="Accesorios"/>
    <n v="2"/>
    <n v="21500"/>
    <n v="9900"/>
    <s v="Tomás Ruiz"/>
    <s v="Centro"/>
    <n v="43000"/>
    <n v="19800"/>
    <n v="23200"/>
  </r>
  <r>
    <s v="V0200"/>
    <x v="247"/>
    <x v="6"/>
    <s v="Accesorios"/>
    <n v="2"/>
    <n v="32800"/>
    <n v="18200"/>
    <s v="Mateo Pérez"/>
    <s v="Noroeste"/>
    <n v="65600"/>
    <n v="36400"/>
    <n v="29200"/>
  </r>
  <r>
    <s v="V0140"/>
    <x v="248"/>
    <x v="7"/>
    <s v="Tecnología"/>
    <n v="6"/>
    <n v="667400"/>
    <n v="452000"/>
    <s v="Tomás Ruiz"/>
    <s v="Patagonia"/>
    <n v="4004400"/>
    <n v="2712000"/>
    <n v="1292400"/>
  </r>
  <r>
    <s v="V0370"/>
    <x v="248"/>
    <x v="2"/>
    <s v="Accesorios"/>
    <n v="1"/>
    <n v="43200"/>
    <n v="23800"/>
    <s v="Lucía Gómez"/>
    <s v="Buenos Aires"/>
    <n v="43200"/>
    <n v="23800"/>
    <n v="19400"/>
  </r>
  <r>
    <s v="V0004"/>
    <x v="249"/>
    <x v="5"/>
    <s v="Muebles"/>
    <n v="5"/>
    <n v="284700"/>
    <n v="180600"/>
    <s v="Tomás Ruiz"/>
    <s v="Buenos Aires"/>
    <n v="1423500"/>
    <n v="903000"/>
    <n v="520500"/>
  </r>
  <r>
    <s v="V0323"/>
    <x v="249"/>
    <x v="6"/>
    <s v="Accesorios"/>
    <n v="7"/>
    <n v="38400"/>
    <n v="17700"/>
    <s v="Tomás Ruiz"/>
    <s v="Noroeste"/>
    <n v="268800"/>
    <n v="123900"/>
    <n v="144900"/>
  </r>
  <r>
    <s v="V0374"/>
    <x v="249"/>
    <x v="6"/>
    <s v="Accesorios"/>
    <n v="3"/>
    <n v="33500"/>
    <n v="18500"/>
    <s v="Tomás Ruiz"/>
    <s v="Buenos Aires"/>
    <n v="100500"/>
    <n v="55500"/>
    <n v="45000"/>
  </r>
  <r>
    <s v="V0388"/>
    <x v="250"/>
    <x v="2"/>
    <s v="Accesorios"/>
    <n v="1"/>
    <n v="39800"/>
    <n v="23800"/>
    <s v="Valentina López"/>
    <s v="Buenos Aires"/>
    <n v="39800"/>
    <n v="23800"/>
    <n v="16000"/>
  </r>
  <r>
    <s v="V0303"/>
    <x v="251"/>
    <x v="0"/>
    <s v="Accesorios"/>
    <n v="2"/>
    <n v="23400"/>
    <n v="10000"/>
    <s v="Valentina López"/>
    <s v="Buenos Aires"/>
    <n v="46800"/>
    <n v="20000"/>
    <n v="26800"/>
  </r>
  <r>
    <s v="V0470"/>
    <x v="252"/>
    <x v="0"/>
    <s v="Accesorios"/>
    <n v="6"/>
    <n v="22300"/>
    <n v="10400"/>
    <s v="Valentina López"/>
    <s v="Buenos Aires"/>
    <n v="133800"/>
    <n v="62400"/>
    <n v="71400"/>
  </r>
  <r>
    <s v="V0383"/>
    <x v="252"/>
    <x v="3"/>
    <s v="Accesorios"/>
    <n v="6"/>
    <n v="51400"/>
    <n v="25300"/>
    <s v="Mateo Pérez"/>
    <s v="Cuyo"/>
    <n v="308400"/>
    <n v="151800"/>
    <n v="156600"/>
  </r>
  <r>
    <s v="V0314"/>
    <x v="253"/>
    <x v="6"/>
    <s v="Accesorios"/>
    <n v="7"/>
    <n v="36000"/>
    <n v="17500"/>
    <s v="Mateo Pérez"/>
    <s v="Noroeste"/>
    <n v="252000"/>
    <n v="122500"/>
    <n v="129500"/>
  </r>
  <r>
    <s v="V0427"/>
    <x v="253"/>
    <x v="8"/>
    <s v="Tecnología"/>
    <n v="1"/>
    <n v="232200"/>
    <n v="144400"/>
    <s v="Mateo Pérez"/>
    <s v="Centro"/>
    <n v="232200"/>
    <n v="144400"/>
    <n v="87800"/>
  </r>
  <r>
    <s v="V0205"/>
    <x v="253"/>
    <x v="7"/>
    <s v="Tecnología"/>
    <n v="7"/>
    <n v="603000"/>
    <n v="468100"/>
    <s v="Tomás Ruiz"/>
    <s v="Buenos Aires"/>
    <n v="4221000"/>
    <n v="3276700"/>
    <n v="944300"/>
  </r>
  <r>
    <s v="V0037"/>
    <x v="253"/>
    <x v="8"/>
    <s v="Tecnología"/>
    <n v="1"/>
    <n v="226200"/>
    <n v="152900"/>
    <s v="Lucía Gómez"/>
    <s v="Buenos Aires"/>
    <n v="226200"/>
    <n v="152900"/>
    <n v="73300"/>
  </r>
  <r>
    <s v="V0153"/>
    <x v="254"/>
    <x v="8"/>
    <s v="Tecnología"/>
    <n v="5"/>
    <n v="221400"/>
    <n v="155700"/>
    <s v="Sofía Díaz"/>
    <s v="Buenos Aires"/>
    <n v="1107000"/>
    <n v="778500"/>
    <n v="328500"/>
  </r>
  <r>
    <s v="V0389"/>
    <x v="254"/>
    <x v="7"/>
    <s v="Tecnología"/>
    <n v="4"/>
    <n v="703600"/>
    <n v="482400"/>
    <s v="Valentina López"/>
    <s v="Cuyo"/>
    <n v="2814400"/>
    <n v="1929600"/>
    <n v="884800"/>
  </r>
  <r>
    <s v="V0286"/>
    <x v="254"/>
    <x v="0"/>
    <s v="Accesorios"/>
    <n v="2"/>
    <n v="20500"/>
    <n v="9900"/>
    <s v="Valentina López"/>
    <s v="Noroeste"/>
    <n v="41000"/>
    <n v="19800"/>
    <n v="21200"/>
  </r>
  <r>
    <s v="V0107"/>
    <x v="254"/>
    <x v="0"/>
    <s v="Accesorios"/>
    <n v="5"/>
    <n v="20800"/>
    <n v="10200"/>
    <s v="Lucía Gómez"/>
    <s v="Centro"/>
    <n v="104000"/>
    <n v="51000"/>
    <n v="53000"/>
  </r>
  <r>
    <s v="V0169"/>
    <x v="255"/>
    <x v="6"/>
    <s v="Accesorios"/>
    <n v="6"/>
    <n v="34400"/>
    <n v="18300"/>
    <s v="Valentina López"/>
    <s v="Patagonia"/>
    <n v="206400"/>
    <n v="109800"/>
    <n v="96600"/>
  </r>
  <r>
    <s v="V0353"/>
    <x v="255"/>
    <x v="4"/>
    <s v="Muebles"/>
    <n v="2"/>
    <n v="183000"/>
    <n v="116000"/>
    <s v="Sofía Díaz"/>
    <s v="Noroeste"/>
    <n v="366000"/>
    <n v="232000"/>
    <n v="134000"/>
  </r>
  <r>
    <s v="V0102"/>
    <x v="256"/>
    <x v="5"/>
    <s v="Muebles"/>
    <n v="6"/>
    <n v="284600"/>
    <n v="180700"/>
    <s v="Lucía Gómez"/>
    <s v="Buenos Aires"/>
    <n v="1707600"/>
    <n v="1084200"/>
    <n v="623400"/>
  </r>
  <r>
    <s v="V0081"/>
    <x v="256"/>
    <x v="5"/>
    <s v="Muebles"/>
    <n v="2"/>
    <n v="247600"/>
    <n v="180700"/>
    <s v="Lucía Gómez"/>
    <s v="Centro"/>
    <n v="495200"/>
    <n v="361400"/>
    <n v="133800"/>
  </r>
  <r>
    <s v="V0006"/>
    <x v="257"/>
    <x v="9"/>
    <s v="Muebles"/>
    <n v="7"/>
    <n v="26600"/>
    <n v="13700"/>
    <s v="Sofía Díaz"/>
    <s v="Noroeste"/>
    <n v="186200"/>
    <n v="95900"/>
    <n v="90300"/>
  </r>
  <r>
    <s v="V0261"/>
    <x v="258"/>
    <x v="8"/>
    <s v="Tecnología"/>
    <n v="3"/>
    <n v="226700"/>
    <n v="153100"/>
    <s v="Valentina López"/>
    <s v="Buenos Aires"/>
    <n v="680100"/>
    <n v="459300"/>
    <n v="220800"/>
  </r>
  <r>
    <s v="V0067"/>
    <x v="258"/>
    <x v="0"/>
    <s v="Accesorios"/>
    <n v="5"/>
    <n v="23200"/>
    <n v="9900"/>
    <s v="Valentina López"/>
    <s v="Buenos Aires"/>
    <n v="116000"/>
    <n v="49500"/>
    <n v="66500"/>
  </r>
  <r>
    <s v="V0181"/>
    <x v="259"/>
    <x v="2"/>
    <s v="Accesorios"/>
    <n v="1"/>
    <n v="42700"/>
    <n v="22400"/>
    <s v="Mateo Pérez"/>
    <s v="Centro"/>
    <n v="42700"/>
    <n v="22400"/>
    <n v="20300"/>
  </r>
  <r>
    <s v="V0142"/>
    <x v="260"/>
    <x v="0"/>
    <s v="Accesorios"/>
    <n v="4"/>
    <n v="21900"/>
    <n v="9700"/>
    <s v="Valentina López"/>
    <s v="Buenos Aires"/>
    <n v="87600"/>
    <n v="38800"/>
    <n v="48800"/>
  </r>
  <r>
    <s v="V0272"/>
    <x v="261"/>
    <x v="8"/>
    <s v="Tecnología"/>
    <n v="3"/>
    <n v="214600"/>
    <n v="147600"/>
    <s v="Mateo Pérez"/>
    <s v="Patagonia"/>
    <n v="643800"/>
    <n v="442800"/>
    <n v="201000"/>
  </r>
  <r>
    <s v="V0442"/>
    <x v="262"/>
    <x v="8"/>
    <s v="Tecnología"/>
    <n v="7"/>
    <n v="227400"/>
    <n v="150300"/>
    <s v="Lucía Gómez"/>
    <s v="Buenos Aires"/>
    <n v="1591800"/>
    <n v="1052100"/>
    <n v="539700"/>
  </r>
  <r>
    <s v="V0446"/>
    <x v="263"/>
    <x v="3"/>
    <s v="Accesorios"/>
    <n v="2"/>
    <n v="50700"/>
    <n v="26200"/>
    <s v="Tomás Ruiz"/>
    <s v="Buenos Aires"/>
    <n v="101400"/>
    <n v="52400"/>
    <n v="49000"/>
  </r>
  <r>
    <s v="V0108"/>
    <x v="264"/>
    <x v="6"/>
    <s v="Accesorios"/>
    <n v="2"/>
    <n v="32700"/>
    <n v="18300"/>
    <s v="Mateo Pérez"/>
    <s v="Cuyo"/>
    <n v="65400"/>
    <n v="36600"/>
    <n v="28800"/>
  </r>
  <r>
    <s v="V0420"/>
    <x v="265"/>
    <x v="2"/>
    <s v="Accesorios"/>
    <n v="3"/>
    <n v="41700"/>
    <n v="23500"/>
    <s v="Mateo Pérez"/>
    <s v="Buenos Aires"/>
    <n v="125100"/>
    <n v="70500"/>
    <n v="54600"/>
  </r>
  <r>
    <s v="V0268"/>
    <x v="266"/>
    <x v="8"/>
    <s v="Tecnología"/>
    <n v="1"/>
    <n v="206100"/>
    <n v="154700"/>
    <s v="Lucía Gómez"/>
    <s v="Buenos Aires"/>
    <n v="206100"/>
    <n v="154700"/>
    <n v="51400"/>
  </r>
  <r>
    <s v="V0294"/>
    <x v="266"/>
    <x v="7"/>
    <s v="Tecnología"/>
    <n v="4"/>
    <n v="641200"/>
    <n v="472500"/>
    <s v="Tomás Ruiz"/>
    <s v="Centro"/>
    <n v="2564800"/>
    <n v="1890000"/>
    <n v="674800"/>
  </r>
  <r>
    <s v="V0439"/>
    <x v="267"/>
    <x v="3"/>
    <s v="Accesorios"/>
    <n v="2"/>
    <n v="47100"/>
    <n v="25600"/>
    <s v="Lucía Gómez"/>
    <s v="Buenos Aires"/>
    <n v="94200"/>
    <n v="51200"/>
    <n v="43000"/>
  </r>
  <r>
    <s v="V0054"/>
    <x v="268"/>
    <x v="5"/>
    <s v="Muebles"/>
    <n v="4"/>
    <n v="252600"/>
    <n v="171500"/>
    <s v="Tomás Ruiz"/>
    <s v="Noroeste"/>
    <n v="1010400"/>
    <n v="686000"/>
    <n v="324400"/>
  </r>
  <r>
    <s v="V0083"/>
    <x v="268"/>
    <x v="3"/>
    <s v="Accesorios"/>
    <n v="3"/>
    <n v="45900"/>
    <n v="26300"/>
    <s v="Tomás Ruiz"/>
    <s v="Patagonia"/>
    <n v="137700"/>
    <n v="78900"/>
    <n v="58800"/>
  </r>
  <r>
    <s v="V0375"/>
    <x v="269"/>
    <x v="8"/>
    <s v="Tecnología"/>
    <n v="1"/>
    <n v="222100"/>
    <n v="144400"/>
    <s v="Valentina López"/>
    <s v="Noroeste"/>
    <n v="222100"/>
    <n v="144400"/>
    <n v="77700"/>
  </r>
  <r>
    <s v="V0222"/>
    <x v="269"/>
    <x v="0"/>
    <s v="Accesorios"/>
    <n v="5"/>
    <n v="20500"/>
    <n v="10100"/>
    <s v="Lucía Gómez"/>
    <s v="Buenos Aires"/>
    <n v="102500"/>
    <n v="50500"/>
    <n v="52000"/>
  </r>
  <r>
    <s v="V0447"/>
    <x v="269"/>
    <x v="9"/>
    <s v="Muebles"/>
    <n v="7"/>
    <n v="30100"/>
    <n v="13800"/>
    <s v="Tomás Ruiz"/>
    <s v="Noroeste"/>
    <n v="210700"/>
    <n v="96600"/>
    <n v="114100"/>
  </r>
  <r>
    <s v="V0242"/>
    <x v="270"/>
    <x v="3"/>
    <s v="Accesorios"/>
    <n v="4"/>
    <n v="52400"/>
    <n v="26500"/>
    <s v="Sofía Díaz"/>
    <s v="Cuyo"/>
    <n v="209600"/>
    <n v="106000"/>
    <n v="103600"/>
  </r>
  <r>
    <s v="V0368"/>
    <x v="270"/>
    <x v="5"/>
    <s v="Muebles"/>
    <n v="1"/>
    <n v="257100"/>
    <n v="178800"/>
    <s v="Lucía Gómez"/>
    <s v="Patagonia"/>
    <n v="257100"/>
    <n v="178800"/>
    <n v="78300"/>
  </r>
  <r>
    <s v="V0209"/>
    <x v="270"/>
    <x v="8"/>
    <s v="Tecnología"/>
    <n v="2"/>
    <n v="219300"/>
    <n v="147900"/>
    <s v="Lucía Gómez"/>
    <s v="Buenos Aires"/>
    <n v="438600"/>
    <n v="295800"/>
    <n v="142800"/>
  </r>
  <r>
    <s v="V0376"/>
    <x v="270"/>
    <x v="8"/>
    <s v="Tecnología"/>
    <n v="2"/>
    <n v="229400"/>
    <n v="155400"/>
    <s v="Valentina López"/>
    <s v="Buenos Aires"/>
    <n v="458800"/>
    <n v="310800"/>
    <n v="148000"/>
  </r>
  <r>
    <s v="V0225"/>
    <x v="271"/>
    <x v="6"/>
    <s v="Accesorios"/>
    <n v="6"/>
    <n v="36400"/>
    <n v="17500"/>
    <s v="Tomás Ruiz"/>
    <s v="Centro"/>
    <n v="218400"/>
    <n v="105000"/>
    <n v="113400"/>
  </r>
  <r>
    <s v="V0232"/>
    <x v="272"/>
    <x v="0"/>
    <s v="Accesorios"/>
    <n v="5"/>
    <n v="22200"/>
    <n v="10300"/>
    <s v="Valentina López"/>
    <s v="Centro"/>
    <n v="111000"/>
    <n v="51500"/>
    <n v="59500"/>
  </r>
  <r>
    <s v="V0474"/>
    <x v="273"/>
    <x v="8"/>
    <s v="Tecnología"/>
    <n v="4"/>
    <n v="203700"/>
    <n v="148700"/>
    <s v="Lucía Gómez"/>
    <s v="Centro"/>
    <n v="814800"/>
    <n v="594800"/>
    <n v="220000"/>
  </r>
  <r>
    <s v="V0249"/>
    <x v="273"/>
    <x v="6"/>
    <s v="Accesorios"/>
    <n v="6"/>
    <n v="36100"/>
    <n v="17800"/>
    <s v="Sofía Díaz"/>
    <s v="Cuyo"/>
    <n v="216600"/>
    <n v="106800"/>
    <n v="109800"/>
  </r>
  <r>
    <s v="V0380"/>
    <x v="274"/>
    <x v="3"/>
    <s v="Accesorios"/>
    <n v="3"/>
    <n v="49700"/>
    <n v="25900"/>
    <s v="Lucía Gómez"/>
    <s v="Centro"/>
    <n v="149100"/>
    <n v="77700"/>
    <n v="71400"/>
  </r>
  <r>
    <s v="V0197"/>
    <x v="275"/>
    <x v="4"/>
    <s v="Muebles"/>
    <n v="2"/>
    <n v="191700"/>
    <n v="113200"/>
    <s v="Valentina López"/>
    <s v="Centro"/>
    <n v="383400"/>
    <n v="226400"/>
    <n v="157000"/>
  </r>
  <r>
    <s v="V0392"/>
    <x v="276"/>
    <x v="8"/>
    <s v="Tecnología"/>
    <n v="7"/>
    <n v="203100"/>
    <n v="155500"/>
    <s v="Tomás Ruiz"/>
    <s v="Centro"/>
    <n v="1421700"/>
    <n v="1088500"/>
    <n v="333200"/>
  </r>
  <r>
    <s v="V0456"/>
    <x v="276"/>
    <x v="8"/>
    <s v="Tecnología"/>
    <n v="4"/>
    <n v="218100"/>
    <n v="148700"/>
    <s v="Valentina López"/>
    <s v="Buenos Aires"/>
    <n v="872400"/>
    <n v="594800"/>
    <n v="277600"/>
  </r>
  <r>
    <s v="V0202"/>
    <x v="276"/>
    <x v="9"/>
    <s v="Muebles"/>
    <n v="5"/>
    <n v="29800"/>
    <n v="14100"/>
    <s v="Lucía Gómez"/>
    <s v="Noroeste"/>
    <n v="149000"/>
    <n v="70500"/>
    <n v="78500"/>
  </r>
  <r>
    <s v="V0227"/>
    <x v="276"/>
    <x v="7"/>
    <s v="Tecnología"/>
    <n v="4"/>
    <n v="619800"/>
    <n v="463400"/>
    <s v="Valentina López"/>
    <s v="Patagonia"/>
    <n v="2479200"/>
    <n v="1853600"/>
    <n v="625600"/>
  </r>
  <r>
    <s v="V0245"/>
    <x v="276"/>
    <x v="4"/>
    <s v="Muebles"/>
    <n v="7"/>
    <n v="183000"/>
    <n v="113100"/>
    <s v="Valentina López"/>
    <s v="Cuyo"/>
    <n v="1281000"/>
    <n v="791700"/>
    <n v="489300"/>
  </r>
  <r>
    <s v="V0082"/>
    <x v="277"/>
    <x v="0"/>
    <s v="Accesorios"/>
    <n v="4"/>
    <n v="22400"/>
    <n v="9700"/>
    <s v="Mateo Pérez"/>
    <s v="Centro"/>
    <n v="89600"/>
    <n v="38800"/>
    <n v="50800"/>
  </r>
  <r>
    <s v="V0421"/>
    <x v="278"/>
    <x v="5"/>
    <s v="Muebles"/>
    <n v="4"/>
    <n v="281000"/>
    <n v="177100"/>
    <s v="Tomás Ruiz"/>
    <s v="Centro"/>
    <n v="1124000"/>
    <n v="708400"/>
    <n v="415600"/>
  </r>
  <r>
    <s v="V0056"/>
    <x v="278"/>
    <x v="3"/>
    <s v="Accesorios"/>
    <n v="7"/>
    <n v="52700"/>
    <n v="27000"/>
    <s v="Tomás Ruiz"/>
    <s v="Centro"/>
    <n v="368900"/>
    <n v="189000"/>
    <n v="179900"/>
  </r>
  <r>
    <s v="V0116"/>
    <x v="278"/>
    <x v="1"/>
    <s v="Tecnología"/>
    <n v="6"/>
    <n v="306300"/>
    <n v="231300"/>
    <s v="Valentina López"/>
    <s v="Buenos Aires"/>
    <n v="1837800"/>
    <n v="1387800"/>
    <n v="450000"/>
  </r>
  <r>
    <s v="V0345"/>
    <x v="279"/>
    <x v="3"/>
    <s v="Accesorios"/>
    <n v="5"/>
    <n v="50700"/>
    <n v="27000"/>
    <s v="Mateo Pérez"/>
    <s v="Cuyo"/>
    <n v="253500"/>
    <n v="135000"/>
    <n v="118500"/>
  </r>
  <r>
    <s v="V0335"/>
    <x v="279"/>
    <x v="8"/>
    <s v="Tecnología"/>
    <n v="1"/>
    <n v="239300"/>
    <n v="145500"/>
    <s v="Sofía Díaz"/>
    <s v="Patagonia"/>
    <n v="239300"/>
    <n v="145500"/>
    <n v="93800"/>
  </r>
  <r>
    <s v="V0168"/>
    <x v="279"/>
    <x v="3"/>
    <s v="Accesorios"/>
    <n v="4"/>
    <n v="46400"/>
    <n v="25700"/>
    <s v="Valentina López"/>
    <s v="Patagonia"/>
    <n v="185600"/>
    <n v="102800"/>
    <n v="82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A31E8-7DA3-4DBD-B9B6-81B9053756C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7" firstHeaderRow="1" firstDataRow="1" firstDataCol="1"/>
  <pivotFields count="14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numFmtId="165" showAll="0"/>
    <pivotField numFmtId="165" showAll="0"/>
    <pivotField showAll="0"/>
    <pivotField showAll="0"/>
    <pivotField dataField="1" numFmtId="165" showAll="0"/>
    <pivotField numFmtId="165" showAll="0"/>
    <pivotField numFmtId="165"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3"/>
    <field x="12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a de Ventas_Totales" fld="9" baseField="0" baseItem="0" numFmtId="166"/>
  </dataFields>
  <formats count="2">
    <format dxfId="1">
      <pivotArea collapsedLevelsAreSubtotals="1" fieldPosition="0">
        <references count="2">
          <reference field="12" count="1">
            <x v="3"/>
          </reference>
          <reference field="13" count="1" selected="0">
            <x v="1"/>
          </reference>
        </references>
      </pivotArea>
    </format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0AA61-1374-4DDA-A565-45278ADC1DD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4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axis="axisRow" showAll="0" sortType="descending">
      <items count="11">
        <item x="3"/>
        <item x="5"/>
        <item x="9"/>
        <item x="8"/>
        <item x="0"/>
        <item x="7"/>
        <item x="4"/>
        <item x="1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showAll="0"/>
    <pivotField showAll="0"/>
    <pivotField dataField="1" numFmtId="165" showAll="0"/>
    <pivotField numFmtId="165"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1">
    <i>
      <x v="5"/>
    </i>
    <i>
      <x v="3"/>
    </i>
    <i>
      <x v="6"/>
    </i>
    <i>
      <x v="7"/>
    </i>
    <i>
      <x v="1"/>
    </i>
    <i>
      <x/>
    </i>
    <i>
      <x v="8"/>
    </i>
    <i>
      <x v="4"/>
    </i>
    <i>
      <x v="9"/>
    </i>
    <i>
      <x v="2"/>
    </i>
    <i t="grand">
      <x/>
    </i>
  </rowItems>
  <colItems count="1">
    <i/>
  </colItems>
  <dataFields count="1">
    <dataField name="Suma de Ventas_Totales" fld="9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2F931-EBA3-4306-A967-6592C12AE13F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4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axis="axisRow" showAll="0" sortType="descending">
      <items count="11">
        <item x="3"/>
        <item x="5"/>
        <item x="9"/>
        <item x="8"/>
        <item x="0"/>
        <item x="7"/>
        <item x="4"/>
        <item x="1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showAll="0"/>
    <pivotField showAll="0"/>
    <pivotField numFmtId="165" showAll="0"/>
    <pivotField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1">
    <i>
      <x v="5"/>
    </i>
    <i>
      <x v="3"/>
    </i>
    <i>
      <x v="6"/>
    </i>
    <i>
      <x v="1"/>
    </i>
    <i>
      <x v="7"/>
    </i>
    <i>
      <x/>
    </i>
    <i>
      <x v="8"/>
    </i>
    <i>
      <x v="4"/>
    </i>
    <i>
      <x v="9"/>
    </i>
    <i>
      <x v="2"/>
    </i>
    <i t="grand">
      <x/>
    </i>
  </rowItems>
  <colItems count="1">
    <i/>
  </colItems>
  <dataFields count="1">
    <dataField name="Suma de Margen_Bruto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F7018-AF1B-489D-A776-07D5E14D2229}" name="Ventas" displayName="Ventas" ref="A1:L501" totalsRowShown="0" headerRowDxfId="10" headerRowBorderDxfId="9" tableBorderDxfId="8">
  <autoFilter ref="A1:L501" xr:uid="{1E7F7018-AF1B-489D-A776-07D5E14D2229}"/>
  <tableColumns count="12">
    <tableColumn id="1" xr3:uid="{A5798DE5-0FB0-449B-BC57-A8A38E28C788}" name="ID_Venta"/>
    <tableColumn id="2" xr3:uid="{777D7865-A221-421C-B34C-9E8103CD118C}" name="Fecha" dataDxfId="7"/>
    <tableColumn id="3" xr3:uid="{E2A89AA6-369D-4055-8714-A89FB43F17A6}" name="Producto"/>
    <tableColumn id="4" xr3:uid="{89A50D21-1E4C-49FE-B6C3-E8A4A7E74C7B}" name="Categoría"/>
    <tableColumn id="5" xr3:uid="{4E760812-0564-4F40-91D8-00F95CE216D8}" name="Cantidad"/>
    <tableColumn id="6" xr3:uid="{CE5DD2EA-B35A-42E4-AD8E-CA704798F656}" name="Precio_Unitario" dataDxfId="6"/>
    <tableColumn id="7" xr3:uid="{CB52D241-0E3D-4F83-AC5E-5A351A79F66E}" name="Costo_Unitario" dataDxfId="5"/>
    <tableColumn id="8" xr3:uid="{9184113A-FE81-4558-9E35-8D6113DEE967}" name="Vendedor"/>
    <tableColumn id="9" xr3:uid="{EC418477-086B-4361-B9B5-32CB5459BFDB}" name="Región"/>
    <tableColumn id="10" xr3:uid="{1915959F-AD24-4976-9A0A-42AC57469CD9}" name="Ventas_Totales" dataDxfId="4">
      <calculatedColumnFormula>Ventas[[#This Row],[Cantidad]]*Ventas[[#This Row],[Precio_Unitario]]</calculatedColumnFormula>
    </tableColumn>
    <tableColumn id="11" xr3:uid="{2F1C2FB1-1531-4785-A0D6-429080C72AA8}" name="Costo_Total" dataDxfId="3">
      <calculatedColumnFormula>Ventas[[#This Row],[Cantidad]]*Ventas[[#This Row],[Costo_Unitario]]</calculatedColumnFormula>
    </tableColumn>
    <tableColumn id="12" xr3:uid="{D423A110-603D-4935-920F-5255A5D4AB3F}" name="Margen_Bruto" dataDxfId="2">
      <calculatedColumnFormula>Ventas[[#This Row],[Ventas_Totales]]-Ventas[[#This Row],[Costo_Total]]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pane ySplit="1" topLeftCell="A2" activePane="bottomLeft" state="frozen"/>
      <selection pane="bottomLeft" activeCell="D20" sqref="D20"/>
    </sheetView>
  </sheetViews>
  <sheetFormatPr baseColWidth="10" defaultColWidth="9.140625" defaultRowHeight="15"/>
  <cols>
    <col min="1" max="1" width="13" customWidth="1"/>
    <col min="2" max="2" width="14" customWidth="1"/>
    <col min="3" max="3" width="24" customWidth="1"/>
    <col min="4" max="4" width="18" customWidth="1"/>
    <col min="5" max="5" width="12" customWidth="1"/>
    <col min="6" max="6" width="19" customWidth="1"/>
    <col min="7" max="7" width="18" customWidth="1"/>
    <col min="8" max="8" width="22" customWidth="1"/>
    <col min="9" max="9" width="18" customWidth="1"/>
    <col min="10" max="10" width="21.140625" customWidth="1"/>
    <col min="11" max="11" width="16.85546875" customWidth="1"/>
    <col min="12" max="12" width="19.7109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532</v>
      </c>
      <c r="K1" s="5" t="s">
        <v>533</v>
      </c>
      <c r="L1" s="5" t="s">
        <v>534</v>
      </c>
    </row>
    <row r="2" spans="1:12">
      <c r="A2" t="s">
        <v>9</v>
      </c>
      <c r="B2" s="1">
        <v>45658</v>
      </c>
      <c r="C2" t="s">
        <v>10</v>
      </c>
      <c r="D2" t="s">
        <v>11</v>
      </c>
      <c r="E2">
        <v>2</v>
      </c>
      <c r="F2" s="2">
        <v>21900</v>
      </c>
      <c r="G2" s="2">
        <v>9700</v>
      </c>
      <c r="H2" t="s">
        <v>12</v>
      </c>
      <c r="I2" t="s">
        <v>13</v>
      </c>
      <c r="J2" s="2">
        <f>Ventas[[#This Row],[Cantidad]]*Ventas[[#This Row],[Precio_Unitario]]</f>
        <v>43800</v>
      </c>
      <c r="K2" s="2">
        <f>Ventas[[#This Row],[Cantidad]]*Ventas[[#This Row],[Costo_Unitario]]</f>
        <v>19400</v>
      </c>
      <c r="L2" s="2">
        <f>Ventas[[#This Row],[Ventas_Totales]]-Ventas[[#This Row],[Costo_Total]]</f>
        <v>24400</v>
      </c>
    </row>
    <row r="3" spans="1:12">
      <c r="A3" t="s">
        <v>14</v>
      </c>
      <c r="B3" s="1">
        <v>45658</v>
      </c>
      <c r="C3" t="s">
        <v>15</v>
      </c>
      <c r="D3" t="s">
        <v>16</v>
      </c>
      <c r="E3">
        <v>1</v>
      </c>
      <c r="F3" s="2">
        <v>307300</v>
      </c>
      <c r="G3" s="2">
        <v>216700</v>
      </c>
      <c r="H3" t="s">
        <v>17</v>
      </c>
      <c r="I3" t="s">
        <v>13</v>
      </c>
      <c r="J3" s="2">
        <f>Ventas[[#This Row],[Cantidad]]*Ventas[[#This Row],[Precio_Unitario]]</f>
        <v>307300</v>
      </c>
      <c r="K3" s="2">
        <f>Ventas[[#This Row],[Cantidad]]*Ventas[[#This Row],[Costo_Unitario]]</f>
        <v>216700</v>
      </c>
      <c r="L3" s="2">
        <f>Ventas[[#This Row],[Ventas_Totales]]-Ventas[[#This Row],[Costo_Total]]</f>
        <v>90600</v>
      </c>
    </row>
    <row r="4" spans="1:12">
      <c r="A4" t="s">
        <v>18</v>
      </c>
      <c r="B4" s="1">
        <v>45658</v>
      </c>
      <c r="C4" t="s">
        <v>10</v>
      </c>
      <c r="D4" t="s">
        <v>11</v>
      </c>
      <c r="E4">
        <v>5</v>
      </c>
      <c r="F4" s="2">
        <v>21200</v>
      </c>
      <c r="G4" s="2">
        <v>9800</v>
      </c>
      <c r="H4" t="s">
        <v>19</v>
      </c>
      <c r="I4" t="s">
        <v>13</v>
      </c>
      <c r="J4" s="2">
        <f>Ventas[[#This Row],[Cantidad]]*Ventas[[#This Row],[Precio_Unitario]]</f>
        <v>106000</v>
      </c>
      <c r="K4" s="2">
        <f>Ventas[[#This Row],[Cantidad]]*Ventas[[#This Row],[Costo_Unitario]]</f>
        <v>49000</v>
      </c>
      <c r="L4" s="2">
        <f>Ventas[[#This Row],[Ventas_Totales]]-Ventas[[#This Row],[Costo_Total]]</f>
        <v>57000</v>
      </c>
    </row>
    <row r="5" spans="1:12">
      <c r="A5" t="s">
        <v>20</v>
      </c>
      <c r="B5" s="1">
        <v>45659</v>
      </c>
      <c r="C5" t="s">
        <v>21</v>
      </c>
      <c r="D5" t="s">
        <v>11</v>
      </c>
      <c r="E5">
        <v>2</v>
      </c>
      <c r="F5" s="2">
        <v>43900</v>
      </c>
      <c r="G5" s="2">
        <v>23700</v>
      </c>
      <c r="H5" t="s">
        <v>22</v>
      </c>
      <c r="I5" t="s">
        <v>13</v>
      </c>
      <c r="J5" s="2">
        <f>Ventas[[#This Row],[Cantidad]]*Ventas[[#This Row],[Precio_Unitario]]</f>
        <v>87800</v>
      </c>
      <c r="K5" s="2">
        <f>Ventas[[#This Row],[Cantidad]]*Ventas[[#This Row],[Costo_Unitario]]</f>
        <v>47400</v>
      </c>
      <c r="L5" s="2">
        <f>Ventas[[#This Row],[Ventas_Totales]]-Ventas[[#This Row],[Costo_Total]]</f>
        <v>40400</v>
      </c>
    </row>
    <row r="6" spans="1:12">
      <c r="A6" t="s">
        <v>23</v>
      </c>
      <c r="B6" s="1">
        <v>45659</v>
      </c>
      <c r="C6" t="s">
        <v>24</v>
      </c>
      <c r="D6" t="s">
        <v>11</v>
      </c>
      <c r="E6">
        <v>4</v>
      </c>
      <c r="F6" s="2">
        <v>48100</v>
      </c>
      <c r="G6" s="2">
        <v>25800</v>
      </c>
      <c r="H6" t="s">
        <v>25</v>
      </c>
      <c r="I6" t="s">
        <v>26</v>
      </c>
      <c r="J6" s="2">
        <f>Ventas[[#This Row],[Cantidad]]*Ventas[[#This Row],[Precio_Unitario]]</f>
        <v>192400</v>
      </c>
      <c r="K6" s="2">
        <f>Ventas[[#This Row],[Cantidad]]*Ventas[[#This Row],[Costo_Unitario]]</f>
        <v>103200</v>
      </c>
      <c r="L6" s="2">
        <f>Ventas[[#This Row],[Ventas_Totales]]-Ventas[[#This Row],[Costo_Total]]</f>
        <v>89200</v>
      </c>
    </row>
    <row r="7" spans="1:12">
      <c r="A7" t="s">
        <v>27</v>
      </c>
      <c r="B7" s="1">
        <v>45660</v>
      </c>
      <c r="C7" t="s">
        <v>24</v>
      </c>
      <c r="D7" t="s">
        <v>11</v>
      </c>
      <c r="E7">
        <v>1</v>
      </c>
      <c r="F7" s="2">
        <v>47000</v>
      </c>
      <c r="G7" s="2">
        <v>25100</v>
      </c>
      <c r="H7" t="s">
        <v>17</v>
      </c>
      <c r="I7" t="s">
        <v>26</v>
      </c>
      <c r="J7" s="2">
        <f>Ventas[[#This Row],[Cantidad]]*Ventas[[#This Row],[Precio_Unitario]]</f>
        <v>47000</v>
      </c>
      <c r="K7" s="2">
        <f>Ventas[[#This Row],[Cantidad]]*Ventas[[#This Row],[Costo_Unitario]]</f>
        <v>25100</v>
      </c>
      <c r="L7" s="2">
        <f>Ventas[[#This Row],[Ventas_Totales]]-Ventas[[#This Row],[Costo_Total]]</f>
        <v>21900</v>
      </c>
    </row>
    <row r="8" spans="1:12">
      <c r="A8" t="s">
        <v>28</v>
      </c>
      <c r="B8" s="1">
        <v>45660</v>
      </c>
      <c r="C8" t="s">
        <v>10</v>
      </c>
      <c r="D8" t="s">
        <v>11</v>
      </c>
      <c r="E8">
        <v>3</v>
      </c>
      <c r="F8" s="2">
        <v>21500</v>
      </c>
      <c r="G8" s="2">
        <v>10000</v>
      </c>
      <c r="H8" t="s">
        <v>25</v>
      </c>
      <c r="I8" t="s">
        <v>13</v>
      </c>
      <c r="J8" s="2">
        <f>Ventas[[#This Row],[Cantidad]]*Ventas[[#This Row],[Precio_Unitario]]</f>
        <v>64500</v>
      </c>
      <c r="K8" s="2">
        <f>Ventas[[#This Row],[Cantidad]]*Ventas[[#This Row],[Costo_Unitario]]</f>
        <v>30000</v>
      </c>
      <c r="L8" s="2">
        <f>Ventas[[#This Row],[Ventas_Totales]]-Ventas[[#This Row],[Costo_Total]]</f>
        <v>34500</v>
      </c>
    </row>
    <row r="9" spans="1:12">
      <c r="A9" t="s">
        <v>29</v>
      </c>
      <c r="B9" s="1">
        <v>45661</v>
      </c>
      <c r="C9" t="s">
        <v>10</v>
      </c>
      <c r="D9" t="s">
        <v>11</v>
      </c>
      <c r="E9">
        <v>1</v>
      </c>
      <c r="F9" s="2">
        <v>22000</v>
      </c>
      <c r="G9" s="2">
        <v>9800</v>
      </c>
      <c r="H9" t="s">
        <v>12</v>
      </c>
      <c r="I9" t="s">
        <v>30</v>
      </c>
      <c r="J9" s="2">
        <f>Ventas[[#This Row],[Cantidad]]*Ventas[[#This Row],[Precio_Unitario]]</f>
        <v>22000</v>
      </c>
      <c r="K9" s="2">
        <f>Ventas[[#This Row],[Cantidad]]*Ventas[[#This Row],[Costo_Unitario]]</f>
        <v>9800</v>
      </c>
      <c r="L9" s="2">
        <f>Ventas[[#This Row],[Ventas_Totales]]-Ventas[[#This Row],[Costo_Total]]</f>
        <v>12200</v>
      </c>
    </row>
    <row r="10" spans="1:12">
      <c r="A10" t="s">
        <v>31</v>
      </c>
      <c r="B10" s="1">
        <v>45661</v>
      </c>
      <c r="C10" t="s">
        <v>21</v>
      </c>
      <c r="D10" t="s">
        <v>11</v>
      </c>
      <c r="E10">
        <v>6</v>
      </c>
      <c r="F10" s="2">
        <v>42400</v>
      </c>
      <c r="G10" s="2">
        <v>22300</v>
      </c>
      <c r="H10" t="s">
        <v>25</v>
      </c>
      <c r="I10" t="s">
        <v>13</v>
      </c>
      <c r="J10" s="2">
        <f>Ventas[[#This Row],[Cantidad]]*Ventas[[#This Row],[Precio_Unitario]]</f>
        <v>254400</v>
      </c>
      <c r="K10" s="2">
        <f>Ventas[[#This Row],[Cantidad]]*Ventas[[#This Row],[Costo_Unitario]]</f>
        <v>133800</v>
      </c>
      <c r="L10" s="2">
        <f>Ventas[[#This Row],[Ventas_Totales]]-Ventas[[#This Row],[Costo_Total]]</f>
        <v>120600</v>
      </c>
    </row>
    <row r="11" spans="1:12">
      <c r="A11" t="s">
        <v>32</v>
      </c>
      <c r="B11" s="1">
        <v>45663</v>
      </c>
      <c r="C11" t="s">
        <v>33</v>
      </c>
      <c r="D11" t="s">
        <v>34</v>
      </c>
      <c r="E11">
        <v>2</v>
      </c>
      <c r="F11" s="2">
        <v>170500</v>
      </c>
      <c r="G11" s="2">
        <v>111200</v>
      </c>
      <c r="H11" t="s">
        <v>22</v>
      </c>
      <c r="I11" t="s">
        <v>13</v>
      </c>
      <c r="J11" s="2">
        <f>Ventas[[#This Row],[Cantidad]]*Ventas[[#This Row],[Precio_Unitario]]</f>
        <v>341000</v>
      </c>
      <c r="K11" s="2">
        <f>Ventas[[#This Row],[Cantidad]]*Ventas[[#This Row],[Costo_Unitario]]</f>
        <v>222400</v>
      </c>
      <c r="L11" s="2">
        <f>Ventas[[#This Row],[Ventas_Totales]]-Ventas[[#This Row],[Costo_Total]]</f>
        <v>118600</v>
      </c>
    </row>
    <row r="12" spans="1:12">
      <c r="A12" t="s">
        <v>35</v>
      </c>
      <c r="B12" s="1">
        <v>45663</v>
      </c>
      <c r="C12" t="s">
        <v>10</v>
      </c>
      <c r="D12" t="s">
        <v>11</v>
      </c>
      <c r="E12">
        <v>5</v>
      </c>
      <c r="F12" s="2">
        <v>20500</v>
      </c>
      <c r="G12" s="2">
        <v>10000</v>
      </c>
      <c r="H12" t="s">
        <v>19</v>
      </c>
      <c r="I12" t="s">
        <v>30</v>
      </c>
      <c r="J12" s="2">
        <f>Ventas[[#This Row],[Cantidad]]*Ventas[[#This Row],[Precio_Unitario]]</f>
        <v>102500</v>
      </c>
      <c r="K12" s="2">
        <f>Ventas[[#This Row],[Cantidad]]*Ventas[[#This Row],[Costo_Unitario]]</f>
        <v>50000</v>
      </c>
      <c r="L12" s="2">
        <f>Ventas[[#This Row],[Ventas_Totales]]-Ventas[[#This Row],[Costo_Total]]</f>
        <v>52500</v>
      </c>
    </row>
    <row r="13" spans="1:12">
      <c r="A13" t="s">
        <v>36</v>
      </c>
      <c r="B13" s="1">
        <v>45664</v>
      </c>
      <c r="C13" t="s">
        <v>37</v>
      </c>
      <c r="D13" t="s">
        <v>34</v>
      </c>
      <c r="E13">
        <v>3</v>
      </c>
      <c r="F13" s="2">
        <v>283400</v>
      </c>
      <c r="G13" s="2">
        <v>175100</v>
      </c>
      <c r="H13" t="s">
        <v>12</v>
      </c>
      <c r="I13" t="s">
        <v>13</v>
      </c>
      <c r="J13" s="2">
        <f>Ventas[[#This Row],[Cantidad]]*Ventas[[#This Row],[Precio_Unitario]]</f>
        <v>850200</v>
      </c>
      <c r="K13" s="2">
        <f>Ventas[[#This Row],[Cantidad]]*Ventas[[#This Row],[Costo_Unitario]]</f>
        <v>525300</v>
      </c>
      <c r="L13" s="2">
        <f>Ventas[[#This Row],[Ventas_Totales]]-Ventas[[#This Row],[Costo_Total]]</f>
        <v>324900</v>
      </c>
    </row>
    <row r="14" spans="1:12">
      <c r="A14" t="s">
        <v>38</v>
      </c>
      <c r="B14" s="1">
        <v>45666</v>
      </c>
      <c r="C14" t="s">
        <v>39</v>
      </c>
      <c r="D14" t="s">
        <v>11</v>
      </c>
      <c r="E14">
        <v>6</v>
      </c>
      <c r="F14" s="2">
        <v>33500</v>
      </c>
      <c r="G14" s="2">
        <v>18300</v>
      </c>
      <c r="H14" t="s">
        <v>25</v>
      </c>
      <c r="I14" t="s">
        <v>30</v>
      </c>
      <c r="J14" s="2">
        <f>Ventas[[#This Row],[Cantidad]]*Ventas[[#This Row],[Precio_Unitario]]</f>
        <v>201000</v>
      </c>
      <c r="K14" s="2">
        <f>Ventas[[#This Row],[Cantidad]]*Ventas[[#This Row],[Costo_Unitario]]</f>
        <v>109800</v>
      </c>
      <c r="L14" s="2">
        <f>Ventas[[#This Row],[Ventas_Totales]]-Ventas[[#This Row],[Costo_Total]]</f>
        <v>91200</v>
      </c>
    </row>
    <row r="15" spans="1:12">
      <c r="A15" t="s">
        <v>40</v>
      </c>
      <c r="B15" s="1">
        <v>45667</v>
      </c>
      <c r="C15" t="s">
        <v>21</v>
      </c>
      <c r="D15" t="s">
        <v>11</v>
      </c>
      <c r="E15">
        <v>4</v>
      </c>
      <c r="F15" s="2">
        <v>46100</v>
      </c>
      <c r="G15" s="2">
        <v>22700</v>
      </c>
      <c r="H15" t="s">
        <v>17</v>
      </c>
      <c r="I15" t="s">
        <v>30</v>
      </c>
      <c r="J15" s="2">
        <f>Ventas[[#This Row],[Cantidad]]*Ventas[[#This Row],[Precio_Unitario]]</f>
        <v>184400</v>
      </c>
      <c r="K15" s="2">
        <f>Ventas[[#This Row],[Cantidad]]*Ventas[[#This Row],[Costo_Unitario]]</f>
        <v>90800</v>
      </c>
      <c r="L15" s="2">
        <f>Ventas[[#This Row],[Ventas_Totales]]-Ventas[[#This Row],[Costo_Total]]</f>
        <v>93600</v>
      </c>
    </row>
    <row r="16" spans="1:12">
      <c r="A16" t="s">
        <v>41</v>
      </c>
      <c r="B16" s="1">
        <v>45667</v>
      </c>
      <c r="C16" t="s">
        <v>39</v>
      </c>
      <c r="D16" t="s">
        <v>11</v>
      </c>
      <c r="E16">
        <v>6</v>
      </c>
      <c r="F16" s="2">
        <v>34600</v>
      </c>
      <c r="G16" s="2">
        <v>18700</v>
      </c>
      <c r="H16" t="s">
        <v>25</v>
      </c>
      <c r="I16" t="s">
        <v>26</v>
      </c>
      <c r="J16" s="2">
        <f>Ventas[[#This Row],[Cantidad]]*Ventas[[#This Row],[Precio_Unitario]]</f>
        <v>207600</v>
      </c>
      <c r="K16" s="2">
        <f>Ventas[[#This Row],[Cantidad]]*Ventas[[#This Row],[Costo_Unitario]]</f>
        <v>112200</v>
      </c>
      <c r="L16" s="2">
        <f>Ventas[[#This Row],[Ventas_Totales]]-Ventas[[#This Row],[Costo_Total]]</f>
        <v>95400</v>
      </c>
    </row>
    <row r="17" spans="1:12">
      <c r="A17" t="s">
        <v>42</v>
      </c>
      <c r="B17" s="1">
        <v>45668</v>
      </c>
      <c r="C17" t="s">
        <v>37</v>
      </c>
      <c r="D17" t="s">
        <v>34</v>
      </c>
      <c r="E17">
        <v>3</v>
      </c>
      <c r="F17" s="2">
        <v>254800</v>
      </c>
      <c r="G17" s="2">
        <v>171800</v>
      </c>
      <c r="H17" t="s">
        <v>19</v>
      </c>
      <c r="I17" t="s">
        <v>13</v>
      </c>
      <c r="J17" s="2">
        <f>Ventas[[#This Row],[Cantidad]]*Ventas[[#This Row],[Precio_Unitario]]</f>
        <v>764400</v>
      </c>
      <c r="K17" s="2">
        <f>Ventas[[#This Row],[Cantidad]]*Ventas[[#This Row],[Costo_Unitario]]</f>
        <v>515400</v>
      </c>
      <c r="L17" s="2">
        <f>Ventas[[#This Row],[Ventas_Totales]]-Ventas[[#This Row],[Costo_Total]]</f>
        <v>249000</v>
      </c>
    </row>
    <row r="18" spans="1:12">
      <c r="A18" t="s">
        <v>43</v>
      </c>
      <c r="B18" s="1">
        <v>45668</v>
      </c>
      <c r="C18" t="s">
        <v>24</v>
      </c>
      <c r="D18" t="s">
        <v>11</v>
      </c>
      <c r="E18">
        <v>4</v>
      </c>
      <c r="F18" s="2">
        <v>51400</v>
      </c>
      <c r="G18" s="2">
        <v>25100</v>
      </c>
      <c r="H18" t="s">
        <v>19</v>
      </c>
      <c r="I18" t="s">
        <v>13</v>
      </c>
      <c r="J18" s="2">
        <f>Ventas[[#This Row],[Cantidad]]*Ventas[[#This Row],[Precio_Unitario]]</f>
        <v>205600</v>
      </c>
      <c r="K18" s="2">
        <f>Ventas[[#This Row],[Cantidad]]*Ventas[[#This Row],[Costo_Unitario]]</f>
        <v>100400</v>
      </c>
      <c r="L18" s="2">
        <f>Ventas[[#This Row],[Ventas_Totales]]-Ventas[[#This Row],[Costo_Total]]</f>
        <v>105200</v>
      </c>
    </row>
    <row r="19" spans="1:12">
      <c r="A19" t="s">
        <v>44</v>
      </c>
      <c r="B19" s="1">
        <v>45671</v>
      </c>
      <c r="C19" t="s">
        <v>39</v>
      </c>
      <c r="D19" t="s">
        <v>11</v>
      </c>
      <c r="E19">
        <v>1</v>
      </c>
      <c r="F19" s="2">
        <v>33400</v>
      </c>
      <c r="G19" s="2">
        <v>18300</v>
      </c>
      <c r="H19" t="s">
        <v>19</v>
      </c>
      <c r="I19" t="s">
        <v>30</v>
      </c>
      <c r="J19" s="2">
        <f>Ventas[[#This Row],[Cantidad]]*Ventas[[#This Row],[Precio_Unitario]]</f>
        <v>33400</v>
      </c>
      <c r="K19" s="2">
        <f>Ventas[[#This Row],[Cantidad]]*Ventas[[#This Row],[Costo_Unitario]]</f>
        <v>18300</v>
      </c>
      <c r="L19" s="2">
        <f>Ventas[[#This Row],[Ventas_Totales]]-Ventas[[#This Row],[Costo_Total]]</f>
        <v>15100</v>
      </c>
    </row>
    <row r="20" spans="1:12">
      <c r="A20" t="s">
        <v>45</v>
      </c>
      <c r="B20" s="1">
        <v>45671</v>
      </c>
      <c r="C20" t="s">
        <v>21</v>
      </c>
      <c r="D20" t="s">
        <v>11</v>
      </c>
      <c r="E20">
        <v>7</v>
      </c>
      <c r="F20" s="2">
        <v>43500</v>
      </c>
      <c r="G20" s="2">
        <v>22900</v>
      </c>
      <c r="H20" t="s">
        <v>12</v>
      </c>
      <c r="I20" t="s">
        <v>13</v>
      </c>
      <c r="J20" s="2">
        <f>Ventas[[#This Row],[Cantidad]]*Ventas[[#This Row],[Precio_Unitario]]</f>
        <v>304500</v>
      </c>
      <c r="K20" s="2">
        <f>Ventas[[#This Row],[Cantidad]]*Ventas[[#This Row],[Costo_Unitario]]</f>
        <v>160300</v>
      </c>
      <c r="L20" s="2">
        <f>Ventas[[#This Row],[Ventas_Totales]]-Ventas[[#This Row],[Costo_Total]]</f>
        <v>144200</v>
      </c>
    </row>
    <row r="21" spans="1:12">
      <c r="A21" t="s">
        <v>46</v>
      </c>
      <c r="B21" s="1">
        <v>45672</v>
      </c>
      <c r="C21" t="s">
        <v>47</v>
      </c>
      <c r="D21" t="s">
        <v>16</v>
      </c>
      <c r="E21">
        <v>2</v>
      </c>
      <c r="F21" s="2">
        <v>605900</v>
      </c>
      <c r="G21" s="2">
        <v>452700</v>
      </c>
      <c r="H21" t="s">
        <v>19</v>
      </c>
      <c r="I21" t="s">
        <v>30</v>
      </c>
      <c r="J21" s="2">
        <f>Ventas[[#This Row],[Cantidad]]*Ventas[[#This Row],[Precio_Unitario]]</f>
        <v>1211800</v>
      </c>
      <c r="K21" s="2">
        <f>Ventas[[#This Row],[Cantidad]]*Ventas[[#This Row],[Costo_Unitario]]</f>
        <v>905400</v>
      </c>
      <c r="L21" s="2">
        <f>Ventas[[#This Row],[Ventas_Totales]]-Ventas[[#This Row],[Costo_Total]]</f>
        <v>306400</v>
      </c>
    </row>
    <row r="22" spans="1:12">
      <c r="A22" t="s">
        <v>48</v>
      </c>
      <c r="B22" s="1">
        <v>45672</v>
      </c>
      <c r="C22" t="s">
        <v>47</v>
      </c>
      <c r="D22" t="s">
        <v>16</v>
      </c>
      <c r="E22">
        <v>5</v>
      </c>
      <c r="F22" s="2">
        <v>647200</v>
      </c>
      <c r="G22" s="2">
        <v>481800</v>
      </c>
      <c r="H22" t="s">
        <v>19</v>
      </c>
      <c r="I22" t="s">
        <v>26</v>
      </c>
      <c r="J22" s="2">
        <f>Ventas[[#This Row],[Cantidad]]*Ventas[[#This Row],[Precio_Unitario]]</f>
        <v>3236000</v>
      </c>
      <c r="K22" s="2">
        <f>Ventas[[#This Row],[Cantidad]]*Ventas[[#This Row],[Costo_Unitario]]</f>
        <v>2409000</v>
      </c>
      <c r="L22" s="2">
        <f>Ventas[[#This Row],[Ventas_Totales]]-Ventas[[#This Row],[Costo_Total]]</f>
        <v>827000</v>
      </c>
    </row>
    <row r="23" spans="1:12">
      <c r="A23" t="s">
        <v>49</v>
      </c>
      <c r="B23" s="1">
        <v>45673</v>
      </c>
      <c r="C23" t="s">
        <v>15</v>
      </c>
      <c r="D23" t="s">
        <v>16</v>
      </c>
      <c r="E23">
        <v>4</v>
      </c>
      <c r="F23" s="2">
        <v>323500</v>
      </c>
      <c r="G23" s="2">
        <v>231400</v>
      </c>
      <c r="H23" t="s">
        <v>17</v>
      </c>
      <c r="I23" t="s">
        <v>30</v>
      </c>
      <c r="J23" s="2">
        <f>Ventas[[#This Row],[Cantidad]]*Ventas[[#This Row],[Precio_Unitario]]</f>
        <v>1294000</v>
      </c>
      <c r="K23" s="2">
        <f>Ventas[[#This Row],[Cantidad]]*Ventas[[#This Row],[Costo_Unitario]]</f>
        <v>925600</v>
      </c>
      <c r="L23" s="2">
        <f>Ventas[[#This Row],[Ventas_Totales]]-Ventas[[#This Row],[Costo_Total]]</f>
        <v>368400</v>
      </c>
    </row>
    <row r="24" spans="1:12">
      <c r="A24" t="s">
        <v>50</v>
      </c>
      <c r="B24" s="1">
        <v>45673</v>
      </c>
      <c r="C24" t="s">
        <v>47</v>
      </c>
      <c r="D24" t="s">
        <v>16</v>
      </c>
      <c r="E24">
        <v>6</v>
      </c>
      <c r="F24" s="2">
        <v>706300</v>
      </c>
      <c r="G24" s="2">
        <v>458800</v>
      </c>
      <c r="H24" t="s">
        <v>22</v>
      </c>
      <c r="I24" t="s">
        <v>13</v>
      </c>
      <c r="J24" s="2">
        <f>Ventas[[#This Row],[Cantidad]]*Ventas[[#This Row],[Precio_Unitario]]</f>
        <v>4237800</v>
      </c>
      <c r="K24" s="2">
        <f>Ventas[[#This Row],[Cantidad]]*Ventas[[#This Row],[Costo_Unitario]]</f>
        <v>2752800</v>
      </c>
      <c r="L24" s="2">
        <f>Ventas[[#This Row],[Ventas_Totales]]-Ventas[[#This Row],[Costo_Total]]</f>
        <v>1485000</v>
      </c>
    </row>
    <row r="25" spans="1:12">
      <c r="A25" t="s">
        <v>51</v>
      </c>
      <c r="B25" s="1">
        <v>45674</v>
      </c>
      <c r="C25" t="s">
        <v>47</v>
      </c>
      <c r="D25" t="s">
        <v>16</v>
      </c>
      <c r="E25">
        <v>1</v>
      </c>
      <c r="F25" s="2">
        <v>697300</v>
      </c>
      <c r="G25" s="2">
        <v>469000</v>
      </c>
      <c r="H25" t="s">
        <v>25</v>
      </c>
      <c r="I25" t="s">
        <v>13</v>
      </c>
      <c r="J25" s="2">
        <f>Ventas[[#This Row],[Cantidad]]*Ventas[[#This Row],[Precio_Unitario]]</f>
        <v>697300</v>
      </c>
      <c r="K25" s="2">
        <f>Ventas[[#This Row],[Cantidad]]*Ventas[[#This Row],[Costo_Unitario]]</f>
        <v>469000</v>
      </c>
      <c r="L25" s="2">
        <f>Ventas[[#This Row],[Ventas_Totales]]-Ventas[[#This Row],[Costo_Total]]</f>
        <v>228300</v>
      </c>
    </row>
    <row r="26" spans="1:12">
      <c r="A26" t="s">
        <v>52</v>
      </c>
      <c r="B26" s="1">
        <v>45675</v>
      </c>
      <c r="C26" t="s">
        <v>47</v>
      </c>
      <c r="D26" t="s">
        <v>16</v>
      </c>
      <c r="E26">
        <v>2</v>
      </c>
      <c r="F26" s="2">
        <v>687400</v>
      </c>
      <c r="G26" s="2">
        <v>458700</v>
      </c>
      <c r="H26" t="s">
        <v>19</v>
      </c>
      <c r="I26" t="s">
        <v>13</v>
      </c>
      <c r="J26" s="2">
        <f>Ventas[[#This Row],[Cantidad]]*Ventas[[#This Row],[Precio_Unitario]]</f>
        <v>1374800</v>
      </c>
      <c r="K26" s="2">
        <f>Ventas[[#This Row],[Cantidad]]*Ventas[[#This Row],[Costo_Unitario]]</f>
        <v>917400</v>
      </c>
      <c r="L26" s="2">
        <f>Ventas[[#This Row],[Ventas_Totales]]-Ventas[[#This Row],[Costo_Total]]</f>
        <v>457400</v>
      </c>
    </row>
    <row r="27" spans="1:12">
      <c r="A27" t="s">
        <v>53</v>
      </c>
      <c r="B27" s="1">
        <v>45675</v>
      </c>
      <c r="C27" t="s">
        <v>33</v>
      </c>
      <c r="D27" t="s">
        <v>34</v>
      </c>
      <c r="E27">
        <v>2</v>
      </c>
      <c r="F27" s="2">
        <v>195400</v>
      </c>
      <c r="G27" s="2">
        <v>110700</v>
      </c>
      <c r="H27" t="s">
        <v>19</v>
      </c>
      <c r="I27" t="s">
        <v>30</v>
      </c>
      <c r="J27" s="2">
        <f>Ventas[[#This Row],[Cantidad]]*Ventas[[#This Row],[Precio_Unitario]]</f>
        <v>390800</v>
      </c>
      <c r="K27" s="2">
        <f>Ventas[[#This Row],[Cantidad]]*Ventas[[#This Row],[Costo_Unitario]]</f>
        <v>221400</v>
      </c>
      <c r="L27" s="2">
        <f>Ventas[[#This Row],[Ventas_Totales]]-Ventas[[#This Row],[Costo_Total]]</f>
        <v>169400</v>
      </c>
    </row>
    <row r="28" spans="1:12">
      <c r="A28" t="s">
        <v>54</v>
      </c>
      <c r="B28" s="1">
        <v>45675</v>
      </c>
      <c r="C28" t="s">
        <v>55</v>
      </c>
      <c r="D28" t="s">
        <v>16</v>
      </c>
      <c r="E28">
        <v>1</v>
      </c>
      <c r="F28" s="2">
        <v>221100</v>
      </c>
      <c r="G28" s="2">
        <v>151000</v>
      </c>
      <c r="H28" t="s">
        <v>17</v>
      </c>
      <c r="I28" t="s">
        <v>26</v>
      </c>
      <c r="J28" s="2">
        <f>Ventas[[#This Row],[Cantidad]]*Ventas[[#This Row],[Precio_Unitario]]</f>
        <v>221100</v>
      </c>
      <c r="K28" s="2">
        <f>Ventas[[#This Row],[Cantidad]]*Ventas[[#This Row],[Costo_Unitario]]</f>
        <v>151000</v>
      </c>
      <c r="L28" s="2">
        <f>Ventas[[#This Row],[Ventas_Totales]]-Ventas[[#This Row],[Costo_Total]]</f>
        <v>70100</v>
      </c>
    </row>
    <row r="29" spans="1:12">
      <c r="A29" t="s">
        <v>56</v>
      </c>
      <c r="B29" s="1">
        <v>45676</v>
      </c>
      <c r="C29" t="s">
        <v>21</v>
      </c>
      <c r="D29" t="s">
        <v>11</v>
      </c>
      <c r="E29">
        <v>6</v>
      </c>
      <c r="F29" s="2">
        <v>42400</v>
      </c>
      <c r="G29" s="2">
        <v>22900</v>
      </c>
      <c r="H29" t="s">
        <v>17</v>
      </c>
      <c r="I29" t="s">
        <v>26</v>
      </c>
      <c r="J29" s="2">
        <f>Ventas[[#This Row],[Cantidad]]*Ventas[[#This Row],[Precio_Unitario]]</f>
        <v>254400</v>
      </c>
      <c r="K29" s="2">
        <f>Ventas[[#This Row],[Cantidad]]*Ventas[[#This Row],[Costo_Unitario]]</f>
        <v>137400</v>
      </c>
      <c r="L29" s="2">
        <f>Ventas[[#This Row],[Ventas_Totales]]-Ventas[[#This Row],[Costo_Total]]</f>
        <v>117000</v>
      </c>
    </row>
    <row r="30" spans="1:12">
      <c r="A30" t="s">
        <v>57</v>
      </c>
      <c r="B30" s="1">
        <v>45676</v>
      </c>
      <c r="C30" t="s">
        <v>15</v>
      </c>
      <c r="D30" t="s">
        <v>16</v>
      </c>
      <c r="E30">
        <v>1</v>
      </c>
      <c r="F30" s="2">
        <v>326700</v>
      </c>
      <c r="G30" s="2">
        <v>224200</v>
      </c>
      <c r="H30" t="s">
        <v>12</v>
      </c>
      <c r="I30" t="s">
        <v>13</v>
      </c>
      <c r="J30" s="2">
        <f>Ventas[[#This Row],[Cantidad]]*Ventas[[#This Row],[Precio_Unitario]]</f>
        <v>326700</v>
      </c>
      <c r="K30" s="2">
        <f>Ventas[[#This Row],[Cantidad]]*Ventas[[#This Row],[Costo_Unitario]]</f>
        <v>224200</v>
      </c>
      <c r="L30" s="2">
        <f>Ventas[[#This Row],[Ventas_Totales]]-Ventas[[#This Row],[Costo_Total]]</f>
        <v>102500</v>
      </c>
    </row>
    <row r="31" spans="1:12">
      <c r="A31" t="s">
        <v>58</v>
      </c>
      <c r="B31" s="1">
        <v>45678</v>
      </c>
      <c r="C31" t="s">
        <v>24</v>
      </c>
      <c r="D31" t="s">
        <v>11</v>
      </c>
      <c r="E31">
        <v>5</v>
      </c>
      <c r="F31" s="2">
        <v>46800</v>
      </c>
      <c r="G31" s="2">
        <v>25400</v>
      </c>
      <c r="H31" t="s">
        <v>22</v>
      </c>
      <c r="I31" t="s">
        <v>13</v>
      </c>
      <c r="J31" s="2">
        <f>Ventas[[#This Row],[Cantidad]]*Ventas[[#This Row],[Precio_Unitario]]</f>
        <v>234000</v>
      </c>
      <c r="K31" s="2">
        <f>Ventas[[#This Row],[Cantidad]]*Ventas[[#This Row],[Costo_Unitario]]</f>
        <v>127000</v>
      </c>
      <c r="L31" s="2">
        <f>Ventas[[#This Row],[Ventas_Totales]]-Ventas[[#This Row],[Costo_Total]]</f>
        <v>107000</v>
      </c>
    </row>
    <row r="32" spans="1:12">
      <c r="A32" t="s">
        <v>59</v>
      </c>
      <c r="B32" s="1">
        <v>45678</v>
      </c>
      <c r="C32" t="s">
        <v>55</v>
      </c>
      <c r="D32" t="s">
        <v>16</v>
      </c>
      <c r="E32">
        <v>4</v>
      </c>
      <c r="F32" s="2">
        <v>209800</v>
      </c>
      <c r="G32" s="2">
        <v>148100</v>
      </c>
      <c r="H32" t="s">
        <v>22</v>
      </c>
      <c r="I32" t="s">
        <v>13</v>
      </c>
      <c r="J32" s="2">
        <f>Ventas[[#This Row],[Cantidad]]*Ventas[[#This Row],[Precio_Unitario]]</f>
        <v>839200</v>
      </c>
      <c r="K32" s="2">
        <f>Ventas[[#This Row],[Cantidad]]*Ventas[[#This Row],[Costo_Unitario]]</f>
        <v>592400</v>
      </c>
      <c r="L32" s="2">
        <f>Ventas[[#This Row],[Ventas_Totales]]-Ventas[[#This Row],[Costo_Total]]</f>
        <v>246800</v>
      </c>
    </row>
    <row r="33" spans="1:12">
      <c r="A33" t="s">
        <v>60</v>
      </c>
      <c r="B33" s="1">
        <v>45678</v>
      </c>
      <c r="C33" t="s">
        <v>55</v>
      </c>
      <c r="D33" t="s">
        <v>16</v>
      </c>
      <c r="E33">
        <v>3</v>
      </c>
      <c r="F33" s="2">
        <v>227100</v>
      </c>
      <c r="G33" s="2">
        <v>145600</v>
      </c>
      <c r="H33" t="s">
        <v>22</v>
      </c>
      <c r="I33" t="s">
        <v>13</v>
      </c>
      <c r="J33" s="2">
        <f>Ventas[[#This Row],[Cantidad]]*Ventas[[#This Row],[Precio_Unitario]]</f>
        <v>681300</v>
      </c>
      <c r="K33" s="2">
        <f>Ventas[[#This Row],[Cantidad]]*Ventas[[#This Row],[Costo_Unitario]]</f>
        <v>436800</v>
      </c>
      <c r="L33" s="2">
        <f>Ventas[[#This Row],[Ventas_Totales]]-Ventas[[#This Row],[Costo_Total]]</f>
        <v>244500</v>
      </c>
    </row>
    <row r="34" spans="1:12">
      <c r="A34" t="s">
        <v>61</v>
      </c>
      <c r="B34" s="1">
        <v>45679</v>
      </c>
      <c r="C34" t="s">
        <v>33</v>
      </c>
      <c r="D34" t="s">
        <v>34</v>
      </c>
      <c r="E34">
        <v>4</v>
      </c>
      <c r="F34" s="2">
        <v>177700</v>
      </c>
      <c r="G34" s="2">
        <v>116400</v>
      </c>
      <c r="H34" t="s">
        <v>22</v>
      </c>
      <c r="I34" t="s">
        <v>13</v>
      </c>
      <c r="J34" s="2">
        <f>Ventas[[#This Row],[Cantidad]]*Ventas[[#This Row],[Precio_Unitario]]</f>
        <v>710800</v>
      </c>
      <c r="K34" s="2">
        <f>Ventas[[#This Row],[Cantidad]]*Ventas[[#This Row],[Costo_Unitario]]</f>
        <v>465600</v>
      </c>
      <c r="L34" s="2">
        <f>Ventas[[#This Row],[Ventas_Totales]]-Ventas[[#This Row],[Costo_Total]]</f>
        <v>245200</v>
      </c>
    </row>
    <row r="35" spans="1:12">
      <c r="A35" t="s">
        <v>62</v>
      </c>
      <c r="B35" s="1">
        <v>45680</v>
      </c>
      <c r="C35" t="s">
        <v>47</v>
      </c>
      <c r="D35" t="s">
        <v>16</v>
      </c>
      <c r="E35">
        <v>1</v>
      </c>
      <c r="F35" s="2">
        <v>666500</v>
      </c>
      <c r="G35" s="2">
        <v>475900</v>
      </c>
      <c r="H35" t="s">
        <v>17</v>
      </c>
      <c r="I35" t="s">
        <v>26</v>
      </c>
      <c r="J35" s="2">
        <f>Ventas[[#This Row],[Cantidad]]*Ventas[[#This Row],[Precio_Unitario]]</f>
        <v>666500</v>
      </c>
      <c r="K35" s="2">
        <f>Ventas[[#This Row],[Cantidad]]*Ventas[[#This Row],[Costo_Unitario]]</f>
        <v>475900</v>
      </c>
      <c r="L35" s="2">
        <f>Ventas[[#This Row],[Ventas_Totales]]-Ventas[[#This Row],[Costo_Total]]</f>
        <v>190600</v>
      </c>
    </row>
    <row r="36" spans="1:12">
      <c r="A36" t="s">
        <v>63</v>
      </c>
      <c r="B36" s="1">
        <v>45680</v>
      </c>
      <c r="C36" t="s">
        <v>55</v>
      </c>
      <c r="D36" t="s">
        <v>16</v>
      </c>
      <c r="E36">
        <v>2</v>
      </c>
      <c r="F36" s="2">
        <v>229000</v>
      </c>
      <c r="G36" s="2">
        <v>147100</v>
      </c>
      <c r="H36" t="s">
        <v>25</v>
      </c>
      <c r="I36" t="s">
        <v>64</v>
      </c>
      <c r="J36" s="2">
        <f>Ventas[[#This Row],[Cantidad]]*Ventas[[#This Row],[Precio_Unitario]]</f>
        <v>458000</v>
      </c>
      <c r="K36" s="2">
        <f>Ventas[[#This Row],[Cantidad]]*Ventas[[#This Row],[Costo_Unitario]]</f>
        <v>294200</v>
      </c>
      <c r="L36" s="2">
        <f>Ventas[[#This Row],[Ventas_Totales]]-Ventas[[#This Row],[Costo_Total]]</f>
        <v>163800</v>
      </c>
    </row>
    <row r="37" spans="1:12">
      <c r="A37" t="s">
        <v>65</v>
      </c>
      <c r="B37" s="1">
        <v>45680</v>
      </c>
      <c r="C37" t="s">
        <v>66</v>
      </c>
      <c r="D37" t="s">
        <v>34</v>
      </c>
      <c r="E37">
        <v>1</v>
      </c>
      <c r="F37" s="2">
        <v>30800</v>
      </c>
      <c r="G37" s="2">
        <v>13500</v>
      </c>
      <c r="H37" t="s">
        <v>17</v>
      </c>
      <c r="I37" t="s">
        <v>13</v>
      </c>
      <c r="J37" s="2">
        <f>Ventas[[#This Row],[Cantidad]]*Ventas[[#This Row],[Precio_Unitario]]</f>
        <v>30800</v>
      </c>
      <c r="K37" s="2">
        <f>Ventas[[#This Row],[Cantidad]]*Ventas[[#This Row],[Costo_Unitario]]</f>
        <v>13500</v>
      </c>
      <c r="L37" s="2">
        <f>Ventas[[#This Row],[Ventas_Totales]]-Ventas[[#This Row],[Costo_Total]]</f>
        <v>17300</v>
      </c>
    </row>
    <row r="38" spans="1:12">
      <c r="A38" t="s">
        <v>67</v>
      </c>
      <c r="B38" s="1">
        <v>45681</v>
      </c>
      <c r="C38" t="s">
        <v>47</v>
      </c>
      <c r="D38" t="s">
        <v>16</v>
      </c>
      <c r="E38">
        <v>3</v>
      </c>
      <c r="F38" s="2">
        <v>624400</v>
      </c>
      <c r="G38" s="2">
        <v>482800</v>
      </c>
      <c r="H38" t="s">
        <v>17</v>
      </c>
      <c r="I38" t="s">
        <v>26</v>
      </c>
      <c r="J38" s="2">
        <f>Ventas[[#This Row],[Cantidad]]*Ventas[[#This Row],[Precio_Unitario]]</f>
        <v>1873200</v>
      </c>
      <c r="K38" s="2">
        <f>Ventas[[#This Row],[Cantidad]]*Ventas[[#This Row],[Costo_Unitario]]</f>
        <v>1448400</v>
      </c>
      <c r="L38" s="2">
        <f>Ventas[[#This Row],[Ventas_Totales]]-Ventas[[#This Row],[Costo_Total]]</f>
        <v>424800</v>
      </c>
    </row>
    <row r="39" spans="1:12">
      <c r="A39" t="s">
        <v>68</v>
      </c>
      <c r="B39" s="1">
        <v>45682</v>
      </c>
      <c r="C39" t="s">
        <v>21</v>
      </c>
      <c r="D39" t="s">
        <v>11</v>
      </c>
      <c r="E39">
        <v>3</v>
      </c>
      <c r="F39" s="2">
        <v>45200</v>
      </c>
      <c r="G39" s="2">
        <v>23400</v>
      </c>
      <c r="H39" t="s">
        <v>22</v>
      </c>
      <c r="I39" t="s">
        <v>64</v>
      </c>
      <c r="J39" s="2">
        <f>Ventas[[#This Row],[Cantidad]]*Ventas[[#This Row],[Precio_Unitario]]</f>
        <v>135600</v>
      </c>
      <c r="K39" s="2">
        <f>Ventas[[#This Row],[Cantidad]]*Ventas[[#This Row],[Costo_Unitario]]</f>
        <v>70200</v>
      </c>
      <c r="L39" s="2">
        <f>Ventas[[#This Row],[Ventas_Totales]]-Ventas[[#This Row],[Costo_Total]]</f>
        <v>65400</v>
      </c>
    </row>
    <row r="40" spans="1:12">
      <c r="A40" t="s">
        <v>69</v>
      </c>
      <c r="B40" s="1">
        <v>45682</v>
      </c>
      <c r="C40" t="s">
        <v>10</v>
      </c>
      <c r="D40" t="s">
        <v>11</v>
      </c>
      <c r="E40">
        <v>1</v>
      </c>
      <c r="F40" s="2">
        <v>22700</v>
      </c>
      <c r="G40" s="2">
        <v>10300</v>
      </c>
      <c r="H40" t="s">
        <v>19</v>
      </c>
      <c r="I40" t="s">
        <v>26</v>
      </c>
      <c r="J40" s="2">
        <f>Ventas[[#This Row],[Cantidad]]*Ventas[[#This Row],[Precio_Unitario]]</f>
        <v>22700</v>
      </c>
      <c r="K40" s="2">
        <f>Ventas[[#This Row],[Cantidad]]*Ventas[[#This Row],[Costo_Unitario]]</f>
        <v>10300</v>
      </c>
      <c r="L40" s="2">
        <f>Ventas[[#This Row],[Ventas_Totales]]-Ventas[[#This Row],[Costo_Total]]</f>
        <v>12400</v>
      </c>
    </row>
    <row r="41" spans="1:12">
      <c r="A41" t="s">
        <v>70</v>
      </c>
      <c r="B41" s="1">
        <v>45684</v>
      </c>
      <c r="C41" t="s">
        <v>39</v>
      </c>
      <c r="D41" t="s">
        <v>11</v>
      </c>
      <c r="E41">
        <v>2</v>
      </c>
      <c r="F41" s="2">
        <v>36500</v>
      </c>
      <c r="G41" s="2">
        <v>18600</v>
      </c>
      <c r="H41" t="s">
        <v>22</v>
      </c>
      <c r="I41" t="s">
        <v>13</v>
      </c>
      <c r="J41" s="2">
        <f>Ventas[[#This Row],[Cantidad]]*Ventas[[#This Row],[Precio_Unitario]]</f>
        <v>73000</v>
      </c>
      <c r="K41" s="2">
        <f>Ventas[[#This Row],[Cantidad]]*Ventas[[#This Row],[Costo_Unitario]]</f>
        <v>37200</v>
      </c>
      <c r="L41" s="2">
        <f>Ventas[[#This Row],[Ventas_Totales]]-Ventas[[#This Row],[Costo_Total]]</f>
        <v>35800</v>
      </c>
    </row>
    <row r="42" spans="1:12">
      <c r="A42" t="s">
        <v>71</v>
      </c>
      <c r="B42" s="1">
        <v>45685</v>
      </c>
      <c r="C42" t="s">
        <v>24</v>
      </c>
      <c r="D42" t="s">
        <v>11</v>
      </c>
      <c r="E42">
        <v>5</v>
      </c>
      <c r="F42" s="2">
        <v>51300</v>
      </c>
      <c r="G42" s="2">
        <v>25500</v>
      </c>
      <c r="H42" t="s">
        <v>12</v>
      </c>
      <c r="I42" t="s">
        <v>72</v>
      </c>
      <c r="J42" s="2">
        <f>Ventas[[#This Row],[Cantidad]]*Ventas[[#This Row],[Precio_Unitario]]</f>
        <v>256500</v>
      </c>
      <c r="K42" s="2">
        <f>Ventas[[#This Row],[Cantidad]]*Ventas[[#This Row],[Costo_Unitario]]</f>
        <v>127500</v>
      </c>
      <c r="L42" s="2">
        <f>Ventas[[#This Row],[Ventas_Totales]]-Ventas[[#This Row],[Costo_Total]]</f>
        <v>129000</v>
      </c>
    </row>
    <row r="43" spans="1:12">
      <c r="A43" t="s">
        <v>73</v>
      </c>
      <c r="B43" s="1">
        <v>45685</v>
      </c>
      <c r="C43" t="s">
        <v>24</v>
      </c>
      <c r="D43" t="s">
        <v>11</v>
      </c>
      <c r="E43">
        <v>2</v>
      </c>
      <c r="F43" s="2">
        <v>46400</v>
      </c>
      <c r="G43" s="2">
        <v>26200</v>
      </c>
      <c r="H43" t="s">
        <v>25</v>
      </c>
      <c r="I43" t="s">
        <v>26</v>
      </c>
      <c r="J43" s="2">
        <f>Ventas[[#This Row],[Cantidad]]*Ventas[[#This Row],[Precio_Unitario]]</f>
        <v>92800</v>
      </c>
      <c r="K43" s="2">
        <f>Ventas[[#This Row],[Cantidad]]*Ventas[[#This Row],[Costo_Unitario]]</f>
        <v>52400</v>
      </c>
      <c r="L43" s="2">
        <f>Ventas[[#This Row],[Ventas_Totales]]-Ventas[[#This Row],[Costo_Total]]</f>
        <v>40400</v>
      </c>
    </row>
    <row r="44" spans="1:12">
      <c r="A44" t="s">
        <v>74</v>
      </c>
      <c r="B44" s="1">
        <v>45685</v>
      </c>
      <c r="C44" t="s">
        <v>15</v>
      </c>
      <c r="D44" t="s">
        <v>16</v>
      </c>
      <c r="E44">
        <v>5</v>
      </c>
      <c r="F44" s="2">
        <v>318000</v>
      </c>
      <c r="G44" s="2">
        <v>233400</v>
      </c>
      <c r="H44" t="s">
        <v>25</v>
      </c>
      <c r="I44" t="s">
        <v>13</v>
      </c>
      <c r="J44" s="2">
        <f>Ventas[[#This Row],[Cantidad]]*Ventas[[#This Row],[Precio_Unitario]]</f>
        <v>1590000</v>
      </c>
      <c r="K44" s="2">
        <f>Ventas[[#This Row],[Cantidad]]*Ventas[[#This Row],[Costo_Unitario]]</f>
        <v>1167000</v>
      </c>
      <c r="L44" s="2">
        <f>Ventas[[#This Row],[Ventas_Totales]]-Ventas[[#This Row],[Costo_Total]]</f>
        <v>423000</v>
      </c>
    </row>
    <row r="45" spans="1:12">
      <c r="A45" t="s">
        <v>75</v>
      </c>
      <c r="B45" s="1">
        <v>45686</v>
      </c>
      <c r="C45" t="s">
        <v>10</v>
      </c>
      <c r="D45" t="s">
        <v>11</v>
      </c>
      <c r="E45">
        <v>1</v>
      </c>
      <c r="F45" s="2">
        <v>23000</v>
      </c>
      <c r="G45" s="2">
        <v>10100</v>
      </c>
      <c r="H45" t="s">
        <v>19</v>
      </c>
      <c r="I45" t="s">
        <v>13</v>
      </c>
      <c r="J45" s="2">
        <f>Ventas[[#This Row],[Cantidad]]*Ventas[[#This Row],[Precio_Unitario]]</f>
        <v>23000</v>
      </c>
      <c r="K45" s="2">
        <f>Ventas[[#This Row],[Cantidad]]*Ventas[[#This Row],[Costo_Unitario]]</f>
        <v>10100</v>
      </c>
      <c r="L45" s="2">
        <f>Ventas[[#This Row],[Ventas_Totales]]-Ventas[[#This Row],[Costo_Total]]</f>
        <v>12900</v>
      </c>
    </row>
    <row r="46" spans="1:12">
      <c r="A46" t="s">
        <v>76</v>
      </c>
      <c r="B46" s="1">
        <v>45687</v>
      </c>
      <c r="C46" t="s">
        <v>39</v>
      </c>
      <c r="D46" t="s">
        <v>11</v>
      </c>
      <c r="E46">
        <v>2</v>
      </c>
      <c r="F46" s="2">
        <v>32500</v>
      </c>
      <c r="G46" s="2">
        <v>17600</v>
      </c>
      <c r="H46" t="s">
        <v>22</v>
      </c>
      <c r="I46" t="s">
        <v>30</v>
      </c>
      <c r="J46" s="2">
        <f>Ventas[[#This Row],[Cantidad]]*Ventas[[#This Row],[Precio_Unitario]]</f>
        <v>65000</v>
      </c>
      <c r="K46" s="2">
        <f>Ventas[[#This Row],[Cantidad]]*Ventas[[#This Row],[Costo_Unitario]]</f>
        <v>35200</v>
      </c>
      <c r="L46" s="2">
        <f>Ventas[[#This Row],[Ventas_Totales]]-Ventas[[#This Row],[Costo_Total]]</f>
        <v>29800</v>
      </c>
    </row>
    <row r="47" spans="1:12">
      <c r="A47" t="s">
        <v>77</v>
      </c>
      <c r="B47" s="1">
        <v>45688</v>
      </c>
      <c r="C47" t="s">
        <v>55</v>
      </c>
      <c r="D47" t="s">
        <v>16</v>
      </c>
      <c r="E47">
        <v>3</v>
      </c>
      <c r="F47" s="2">
        <v>219400</v>
      </c>
      <c r="G47" s="2">
        <v>152400</v>
      </c>
      <c r="H47" t="s">
        <v>22</v>
      </c>
      <c r="I47" t="s">
        <v>30</v>
      </c>
      <c r="J47" s="2">
        <f>Ventas[[#This Row],[Cantidad]]*Ventas[[#This Row],[Precio_Unitario]]</f>
        <v>658200</v>
      </c>
      <c r="K47" s="2">
        <f>Ventas[[#This Row],[Cantidad]]*Ventas[[#This Row],[Costo_Unitario]]</f>
        <v>457200</v>
      </c>
      <c r="L47" s="2">
        <f>Ventas[[#This Row],[Ventas_Totales]]-Ventas[[#This Row],[Costo_Total]]</f>
        <v>201000</v>
      </c>
    </row>
    <row r="48" spans="1:12">
      <c r="A48" t="s">
        <v>78</v>
      </c>
      <c r="B48" s="1">
        <v>45688</v>
      </c>
      <c r="C48" t="s">
        <v>24</v>
      </c>
      <c r="D48" t="s">
        <v>11</v>
      </c>
      <c r="E48">
        <v>7</v>
      </c>
      <c r="F48" s="2">
        <v>51900</v>
      </c>
      <c r="G48" s="2">
        <v>26600</v>
      </c>
      <c r="H48" t="s">
        <v>12</v>
      </c>
      <c r="I48" t="s">
        <v>64</v>
      </c>
      <c r="J48" s="2">
        <f>Ventas[[#This Row],[Cantidad]]*Ventas[[#This Row],[Precio_Unitario]]</f>
        <v>363300</v>
      </c>
      <c r="K48" s="2">
        <f>Ventas[[#This Row],[Cantidad]]*Ventas[[#This Row],[Costo_Unitario]]</f>
        <v>186200</v>
      </c>
      <c r="L48" s="2">
        <f>Ventas[[#This Row],[Ventas_Totales]]-Ventas[[#This Row],[Costo_Total]]</f>
        <v>177100</v>
      </c>
    </row>
    <row r="49" spans="1:12">
      <c r="A49" t="s">
        <v>79</v>
      </c>
      <c r="B49" s="1">
        <v>45688</v>
      </c>
      <c r="C49" t="s">
        <v>33</v>
      </c>
      <c r="D49" t="s">
        <v>34</v>
      </c>
      <c r="E49">
        <v>6</v>
      </c>
      <c r="F49" s="2">
        <v>176600</v>
      </c>
      <c r="G49" s="2">
        <v>114500</v>
      </c>
      <c r="H49" t="s">
        <v>22</v>
      </c>
      <c r="I49" t="s">
        <v>13</v>
      </c>
      <c r="J49" s="2">
        <f>Ventas[[#This Row],[Cantidad]]*Ventas[[#This Row],[Precio_Unitario]]</f>
        <v>1059600</v>
      </c>
      <c r="K49" s="2">
        <f>Ventas[[#This Row],[Cantidad]]*Ventas[[#This Row],[Costo_Unitario]]</f>
        <v>687000</v>
      </c>
      <c r="L49" s="2">
        <f>Ventas[[#This Row],[Ventas_Totales]]-Ventas[[#This Row],[Costo_Total]]</f>
        <v>372600</v>
      </c>
    </row>
    <row r="50" spans="1:12">
      <c r="A50" t="s">
        <v>80</v>
      </c>
      <c r="B50" s="1">
        <v>45688</v>
      </c>
      <c r="C50" t="s">
        <v>33</v>
      </c>
      <c r="D50" t="s">
        <v>34</v>
      </c>
      <c r="E50">
        <v>1</v>
      </c>
      <c r="F50" s="2">
        <v>187400</v>
      </c>
      <c r="G50" s="2">
        <v>113500</v>
      </c>
      <c r="H50" t="s">
        <v>19</v>
      </c>
      <c r="I50" t="s">
        <v>26</v>
      </c>
      <c r="J50" s="2">
        <f>Ventas[[#This Row],[Cantidad]]*Ventas[[#This Row],[Precio_Unitario]]</f>
        <v>187400</v>
      </c>
      <c r="K50" s="2">
        <f>Ventas[[#This Row],[Cantidad]]*Ventas[[#This Row],[Costo_Unitario]]</f>
        <v>113500</v>
      </c>
      <c r="L50" s="2">
        <f>Ventas[[#This Row],[Ventas_Totales]]-Ventas[[#This Row],[Costo_Total]]</f>
        <v>73900</v>
      </c>
    </row>
    <row r="51" spans="1:12">
      <c r="A51" t="s">
        <v>81</v>
      </c>
      <c r="B51" s="1">
        <v>45695</v>
      </c>
      <c r="C51" t="s">
        <v>24</v>
      </c>
      <c r="D51" t="s">
        <v>11</v>
      </c>
      <c r="E51">
        <v>4</v>
      </c>
      <c r="F51" s="2">
        <v>50500</v>
      </c>
      <c r="G51" s="2">
        <v>26700</v>
      </c>
      <c r="H51" t="s">
        <v>22</v>
      </c>
      <c r="I51" t="s">
        <v>30</v>
      </c>
      <c r="J51" s="2">
        <f>Ventas[[#This Row],[Cantidad]]*Ventas[[#This Row],[Precio_Unitario]]</f>
        <v>202000</v>
      </c>
      <c r="K51" s="2">
        <f>Ventas[[#This Row],[Cantidad]]*Ventas[[#This Row],[Costo_Unitario]]</f>
        <v>106800</v>
      </c>
      <c r="L51" s="2">
        <f>Ventas[[#This Row],[Ventas_Totales]]-Ventas[[#This Row],[Costo_Total]]</f>
        <v>95200</v>
      </c>
    </row>
    <row r="52" spans="1:12">
      <c r="A52" t="s">
        <v>82</v>
      </c>
      <c r="B52" s="1">
        <v>45695</v>
      </c>
      <c r="C52" t="s">
        <v>47</v>
      </c>
      <c r="D52" t="s">
        <v>16</v>
      </c>
      <c r="E52">
        <v>3</v>
      </c>
      <c r="F52" s="2">
        <v>691500</v>
      </c>
      <c r="G52" s="2">
        <v>476200</v>
      </c>
      <c r="H52" t="s">
        <v>12</v>
      </c>
      <c r="I52" t="s">
        <v>72</v>
      </c>
      <c r="J52" s="2">
        <f>Ventas[[#This Row],[Cantidad]]*Ventas[[#This Row],[Precio_Unitario]]</f>
        <v>2074500</v>
      </c>
      <c r="K52" s="2">
        <f>Ventas[[#This Row],[Cantidad]]*Ventas[[#This Row],[Costo_Unitario]]</f>
        <v>1428600</v>
      </c>
      <c r="L52" s="2">
        <f>Ventas[[#This Row],[Ventas_Totales]]-Ventas[[#This Row],[Costo_Total]]</f>
        <v>645900</v>
      </c>
    </row>
    <row r="53" spans="1:12">
      <c r="A53" t="s">
        <v>83</v>
      </c>
      <c r="B53" s="1">
        <v>45695</v>
      </c>
      <c r="C53" t="s">
        <v>39</v>
      </c>
      <c r="D53" t="s">
        <v>11</v>
      </c>
      <c r="E53">
        <v>4</v>
      </c>
      <c r="F53" s="2">
        <v>38400</v>
      </c>
      <c r="G53" s="2">
        <v>17600</v>
      </c>
      <c r="H53" t="s">
        <v>19</v>
      </c>
      <c r="I53" t="s">
        <v>64</v>
      </c>
      <c r="J53" s="2">
        <f>Ventas[[#This Row],[Cantidad]]*Ventas[[#This Row],[Precio_Unitario]]</f>
        <v>153600</v>
      </c>
      <c r="K53" s="2">
        <f>Ventas[[#This Row],[Cantidad]]*Ventas[[#This Row],[Costo_Unitario]]</f>
        <v>70400</v>
      </c>
      <c r="L53" s="2">
        <f>Ventas[[#This Row],[Ventas_Totales]]-Ventas[[#This Row],[Costo_Total]]</f>
        <v>83200</v>
      </c>
    </row>
    <row r="54" spans="1:12">
      <c r="A54" t="s">
        <v>84</v>
      </c>
      <c r="B54" s="1">
        <v>45695</v>
      </c>
      <c r="C54" t="s">
        <v>47</v>
      </c>
      <c r="D54" t="s">
        <v>16</v>
      </c>
      <c r="E54">
        <v>2</v>
      </c>
      <c r="F54" s="2">
        <v>703600</v>
      </c>
      <c r="G54" s="2">
        <v>484200</v>
      </c>
      <c r="H54" t="s">
        <v>17</v>
      </c>
      <c r="I54" t="s">
        <v>13</v>
      </c>
      <c r="J54" s="2">
        <f>Ventas[[#This Row],[Cantidad]]*Ventas[[#This Row],[Precio_Unitario]]</f>
        <v>1407200</v>
      </c>
      <c r="K54" s="2">
        <f>Ventas[[#This Row],[Cantidad]]*Ventas[[#This Row],[Costo_Unitario]]</f>
        <v>968400</v>
      </c>
      <c r="L54" s="2">
        <f>Ventas[[#This Row],[Ventas_Totales]]-Ventas[[#This Row],[Costo_Total]]</f>
        <v>438800</v>
      </c>
    </row>
    <row r="55" spans="1:12">
      <c r="A55" t="s">
        <v>85</v>
      </c>
      <c r="B55" s="1">
        <v>45696</v>
      </c>
      <c r="C55" t="s">
        <v>10</v>
      </c>
      <c r="D55" t="s">
        <v>11</v>
      </c>
      <c r="E55">
        <v>3</v>
      </c>
      <c r="F55" s="2">
        <v>20400</v>
      </c>
      <c r="G55" s="2">
        <v>9900</v>
      </c>
      <c r="H55" t="s">
        <v>19</v>
      </c>
      <c r="I55" t="s">
        <v>64</v>
      </c>
      <c r="J55" s="2">
        <f>Ventas[[#This Row],[Cantidad]]*Ventas[[#This Row],[Precio_Unitario]]</f>
        <v>61200</v>
      </c>
      <c r="K55" s="2">
        <f>Ventas[[#This Row],[Cantidad]]*Ventas[[#This Row],[Costo_Unitario]]</f>
        <v>29700</v>
      </c>
      <c r="L55" s="2">
        <f>Ventas[[#This Row],[Ventas_Totales]]-Ventas[[#This Row],[Costo_Total]]</f>
        <v>31500</v>
      </c>
    </row>
    <row r="56" spans="1:12">
      <c r="A56" t="s">
        <v>86</v>
      </c>
      <c r="B56" s="1">
        <v>45697</v>
      </c>
      <c r="C56" t="s">
        <v>21</v>
      </c>
      <c r="D56" t="s">
        <v>11</v>
      </c>
      <c r="E56">
        <v>7</v>
      </c>
      <c r="F56" s="2">
        <v>45700</v>
      </c>
      <c r="G56" s="2">
        <v>23700</v>
      </c>
      <c r="H56" t="s">
        <v>19</v>
      </c>
      <c r="I56" t="s">
        <v>30</v>
      </c>
      <c r="J56" s="2">
        <f>Ventas[[#This Row],[Cantidad]]*Ventas[[#This Row],[Precio_Unitario]]</f>
        <v>319900</v>
      </c>
      <c r="K56" s="2">
        <f>Ventas[[#This Row],[Cantidad]]*Ventas[[#This Row],[Costo_Unitario]]</f>
        <v>165900</v>
      </c>
      <c r="L56" s="2">
        <f>Ventas[[#This Row],[Ventas_Totales]]-Ventas[[#This Row],[Costo_Total]]</f>
        <v>154000</v>
      </c>
    </row>
    <row r="57" spans="1:12">
      <c r="A57" t="s">
        <v>87</v>
      </c>
      <c r="B57" s="1">
        <v>45697</v>
      </c>
      <c r="C57" t="s">
        <v>47</v>
      </c>
      <c r="D57" t="s">
        <v>16</v>
      </c>
      <c r="E57">
        <v>3</v>
      </c>
      <c r="F57" s="2">
        <v>680900</v>
      </c>
      <c r="G57" s="2">
        <v>474200</v>
      </c>
      <c r="H57" t="s">
        <v>25</v>
      </c>
      <c r="I57" t="s">
        <v>30</v>
      </c>
      <c r="J57" s="2">
        <f>Ventas[[#This Row],[Cantidad]]*Ventas[[#This Row],[Precio_Unitario]]</f>
        <v>2042700</v>
      </c>
      <c r="K57" s="2">
        <f>Ventas[[#This Row],[Cantidad]]*Ventas[[#This Row],[Costo_Unitario]]</f>
        <v>1422600</v>
      </c>
      <c r="L57" s="2">
        <f>Ventas[[#This Row],[Ventas_Totales]]-Ventas[[#This Row],[Costo_Total]]</f>
        <v>620100</v>
      </c>
    </row>
    <row r="58" spans="1:12">
      <c r="A58" t="s">
        <v>88</v>
      </c>
      <c r="B58" s="1">
        <v>45698</v>
      </c>
      <c r="C58" t="s">
        <v>33</v>
      </c>
      <c r="D58" t="s">
        <v>34</v>
      </c>
      <c r="E58">
        <v>6</v>
      </c>
      <c r="F58" s="2">
        <v>172900</v>
      </c>
      <c r="G58" s="2">
        <v>115000</v>
      </c>
      <c r="H58" t="s">
        <v>25</v>
      </c>
      <c r="I58" t="s">
        <v>13</v>
      </c>
      <c r="J58" s="2">
        <f>Ventas[[#This Row],[Cantidad]]*Ventas[[#This Row],[Precio_Unitario]]</f>
        <v>1037400</v>
      </c>
      <c r="K58" s="2">
        <f>Ventas[[#This Row],[Cantidad]]*Ventas[[#This Row],[Costo_Unitario]]</f>
        <v>690000</v>
      </c>
      <c r="L58" s="2">
        <f>Ventas[[#This Row],[Ventas_Totales]]-Ventas[[#This Row],[Costo_Total]]</f>
        <v>347400</v>
      </c>
    </row>
    <row r="59" spans="1:12">
      <c r="A59" t="s">
        <v>89</v>
      </c>
      <c r="B59" s="1">
        <v>45698</v>
      </c>
      <c r="C59" t="s">
        <v>33</v>
      </c>
      <c r="D59" t="s">
        <v>34</v>
      </c>
      <c r="E59">
        <v>6</v>
      </c>
      <c r="F59" s="2">
        <v>176700</v>
      </c>
      <c r="G59" s="2">
        <v>117800</v>
      </c>
      <c r="H59" t="s">
        <v>12</v>
      </c>
      <c r="I59" t="s">
        <v>64</v>
      </c>
      <c r="J59" s="2">
        <f>Ventas[[#This Row],[Cantidad]]*Ventas[[#This Row],[Precio_Unitario]]</f>
        <v>1060200</v>
      </c>
      <c r="K59" s="2">
        <f>Ventas[[#This Row],[Cantidad]]*Ventas[[#This Row],[Costo_Unitario]]</f>
        <v>706800</v>
      </c>
      <c r="L59" s="2">
        <f>Ventas[[#This Row],[Ventas_Totales]]-Ventas[[#This Row],[Costo_Total]]</f>
        <v>353400</v>
      </c>
    </row>
    <row r="60" spans="1:12">
      <c r="A60" t="s">
        <v>90</v>
      </c>
      <c r="B60" s="1">
        <v>45698</v>
      </c>
      <c r="C60" t="s">
        <v>55</v>
      </c>
      <c r="D60" t="s">
        <v>16</v>
      </c>
      <c r="E60">
        <v>2</v>
      </c>
      <c r="F60" s="2">
        <v>231700</v>
      </c>
      <c r="G60" s="2">
        <v>153400</v>
      </c>
      <c r="H60" t="s">
        <v>17</v>
      </c>
      <c r="I60" t="s">
        <v>30</v>
      </c>
      <c r="J60" s="2">
        <f>Ventas[[#This Row],[Cantidad]]*Ventas[[#This Row],[Precio_Unitario]]</f>
        <v>463400</v>
      </c>
      <c r="K60" s="2">
        <f>Ventas[[#This Row],[Cantidad]]*Ventas[[#This Row],[Costo_Unitario]]</f>
        <v>306800</v>
      </c>
      <c r="L60" s="2">
        <f>Ventas[[#This Row],[Ventas_Totales]]-Ventas[[#This Row],[Costo_Total]]</f>
        <v>156600</v>
      </c>
    </row>
    <row r="61" spans="1:12">
      <c r="A61" t="s">
        <v>91</v>
      </c>
      <c r="B61" s="1">
        <v>45699</v>
      </c>
      <c r="C61" t="s">
        <v>24</v>
      </c>
      <c r="D61" t="s">
        <v>11</v>
      </c>
      <c r="E61">
        <v>7</v>
      </c>
      <c r="F61" s="2">
        <v>52500</v>
      </c>
      <c r="G61" s="2">
        <v>26600</v>
      </c>
      <c r="H61" t="s">
        <v>25</v>
      </c>
      <c r="I61" t="s">
        <v>72</v>
      </c>
      <c r="J61" s="2">
        <f>Ventas[[#This Row],[Cantidad]]*Ventas[[#This Row],[Precio_Unitario]]</f>
        <v>367500</v>
      </c>
      <c r="K61" s="2">
        <f>Ventas[[#This Row],[Cantidad]]*Ventas[[#This Row],[Costo_Unitario]]</f>
        <v>186200</v>
      </c>
      <c r="L61" s="2">
        <f>Ventas[[#This Row],[Ventas_Totales]]-Ventas[[#This Row],[Costo_Total]]</f>
        <v>181300</v>
      </c>
    </row>
    <row r="62" spans="1:12">
      <c r="A62" t="s">
        <v>92</v>
      </c>
      <c r="B62" s="1">
        <v>45699</v>
      </c>
      <c r="C62" t="s">
        <v>21</v>
      </c>
      <c r="D62" t="s">
        <v>11</v>
      </c>
      <c r="E62">
        <v>3</v>
      </c>
      <c r="F62" s="2">
        <v>39200</v>
      </c>
      <c r="G62" s="2">
        <v>23200</v>
      </c>
      <c r="H62" t="s">
        <v>12</v>
      </c>
      <c r="I62" t="s">
        <v>13</v>
      </c>
      <c r="J62" s="2">
        <f>Ventas[[#This Row],[Cantidad]]*Ventas[[#This Row],[Precio_Unitario]]</f>
        <v>117600</v>
      </c>
      <c r="K62" s="2">
        <f>Ventas[[#This Row],[Cantidad]]*Ventas[[#This Row],[Costo_Unitario]]</f>
        <v>69600</v>
      </c>
      <c r="L62" s="2">
        <f>Ventas[[#This Row],[Ventas_Totales]]-Ventas[[#This Row],[Costo_Total]]</f>
        <v>48000</v>
      </c>
    </row>
    <row r="63" spans="1:12">
      <c r="A63" t="s">
        <v>93</v>
      </c>
      <c r="B63" s="1">
        <v>45700</v>
      </c>
      <c r="C63" t="s">
        <v>33</v>
      </c>
      <c r="D63" t="s">
        <v>34</v>
      </c>
      <c r="E63">
        <v>7</v>
      </c>
      <c r="F63" s="2">
        <v>168100</v>
      </c>
      <c r="G63" s="2">
        <v>117400</v>
      </c>
      <c r="H63" t="s">
        <v>25</v>
      </c>
      <c r="I63" t="s">
        <v>26</v>
      </c>
      <c r="J63" s="2">
        <f>Ventas[[#This Row],[Cantidad]]*Ventas[[#This Row],[Precio_Unitario]]</f>
        <v>1176700</v>
      </c>
      <c r="K63" s="2">
        <f>Ventas[[#This Row],[Cantidad]]*Ventas[[#This Row],[Costo_Unitario]]</f>
        <v>821800</v>
      </c>
      <c r="L63" s="2">
        <f>Ventas[[#This Row],[Ventas_Totales]]-Ventas[[#This Row],[Costo_Total]]</f>
        <v>354900</v>
      </c>
    </row>
    <row r="64" spans="1:12">
      <c r="A64" t="s">
        <v>94</v>
      </c>
      <c r="B64" s="1">
        <v>45701</v>
      </c>
      <c r="C64" t="s">
        <v>37</v>
      </c>
      <c r="D64" t="s">
        <v>34</v>
      </c>
      <c r="E64">
        <v>6</v>
      </c>
      <c r="F64" s="2">
        <v>251600</v>
      </c>
      <c r="G64" s="2">
        <v>175100</v>
      </c>
      <c r="H64" t="s">
        <v>17</v>
      </c>
      <c r="I64" t="s">
        <v>26</v>
      </c>
      <c r="J64" s="2">
        <f>Ventas[[#This Row],[Cantidad]]*Ventas[[#This Row],[Precio_Unitario]]</f>
        <v>1509600</v>
      </c>
      <c r="K64" s="2">
        <f>Ventas[[#This Row],[Cantidad]]*Ventas[[#This Row],[Costo_Unitario]]</f>
        <v>1050600</v>
      </c>
      <c r="L64" s="2">
        <f>Ventas[[#This Row],[Ventas_Totales]]-Ventas[[#This Row],[Costo_Total]]</f>
        <v>459000</v>
      </c>
    </row>
    <row r="65" spans="1:12">
      <c r="A65" t="s">
        <v>95</v>
      </c>
      <c r="B65" s="1">
        <v>45701</v>
      </c>
      <c r="C65" t="s">
        <v>21</v>
      </c>
      <c r="D65" t="s">
        <v>11</v>
      </c>
      <c r="E65">
        <v>6</v>
      </c>
      <c r="F65" s="2">
        <v>41100</v>
      </c>
      <c r="G65" s="2">
        <v>23400</v>
      </c>
      <c r="H65" t="s">
        <v>17</v>
      </c>
      <c r="I65" t="s">
        <v>26</v>
      </c>
      <c r="J65" s="2">
        <f>Ventas[[#This Row],[Cantidad]]*Ventas[[#This Row],[Precio_Unitario]]</f>
        <v>246600</v>
      </c>
      <c r="K65" s="2">
        <f>Ventas[[#This Row],[Cantidad]]*Ventas[[#This Row],[Costo_Unitario]]</f>
        <v>140400</v>
      </c>
      <c r="L65" s="2">
        <f>Ventas[[#This Row],[Ventas_Totales]]-Ventas[[#This Row],[Costo_Total]]</f>
        <v>106200</v>
      </c>
    </row>
    <row r="66" spans="1:12">
      <c r="A66" t="s">
        <v>96</v>
      </c>
      <c r="B66" s="1">
        <v>45701</v>
      </c>
      <c r="C66" t="s">
        <v>55</v>
      </c>
      <c r="D66" t="s">
        <v>16</v>
      </c>
      <c r="E66">
        <v>2</v>
      </c>
      <c r="F66" s="2">
        <v>232500</v>
      </c>
      <c r="G66" s="2">
        <v>146800</v>
      </c>
      <c r="H66" t="s">
        <v>12</v>
      </c>
      <c r="I66" t="s">
        <v>13</v>
      </c>
      <c r="J66" s="2">
        <f>Ventas[[#This Row],[Cantidad]]*Ventas[[#This Row],[Precio_Unitario]]</f>
        <v>465000</v>
      </c>
      <c r="K66" s="2">
        <f>Ventas[[#This Row],[Cantidad]]*Ventas[[#This Row],[Costo_Unitario]]</f>
        <v>293600</v>
      </c>
      <c r="L66" s="2">
        <f>Ventas[[#This Row],[Ventas_Totales]]-Ventas[[#This Row],[Costo_Total]]</f>
        <v>171400</v>
      </c>
    </row>
    <row r="67" spans="1:12">
      <c r="A67" t="s">
        <v>97</v>
      </c>
      <c r="B67" s="1">
        <v>45703</v>
      </c>
      <c r="C67" t="s">
        <v>10</v>
      </c>
      <c r="D67" t="s">
        <v>11</v>
      </c>
      <c r="E67">
        <v>1</v>
      </c>
      <c r="F67" s="2">
        <v>21000</v>
      </c>
      <c r="G67" s="2">
        <v>10300</v>
      </c>
      <c r="H67" t="s">
        <v>25</v>
      </c>
      <c r="I67" t="s">
        <v>30</v>
      </c>
      <c r="J67" s="2">
        <f>Ventas[[#This Row],[Cantidad]]*Ventas[[#This Row],[Precio_Unitario]]</f>
        <v>21000</v>
      </c>
      <c r="K67" s="2">
        <f>Ventas[[#This Row],[Cantidad]]*Ventas[[#This Row],[Costo_Unitario]]</f>
        <v>10300</v>
      </c>
      <c r="L67" s="2">
        <f>Ventas[[#This Row],[Ventas_Totales]]-Ventas[[#This Row],[Costo_Total]]</f>
        <v>10700</v>
      </c>
    </row>
    <row r="68" spans="1:12">
      <c r="A68" t="s">
        <v>98</v>
      </c>
      <c r="B68" s="1">
        <v>45704</v>
      </c>
      <c r="C68" t="s">
        <v>47</v>
      </c>
      <c r="D68" t="s">
        <v>16</v>
      </c>
      <c r="E68">
        <v>2</v>
      </c>
      <c r="F68" s="2">
        <v>705900</v>
      </c>
      <c r="G68" s="2">
        <v>463700</v>
      </c>
      <c r="H68" t="s">
        <v>12</v>
      </c>
      <c r="I68" t="s">
        <v>64</v>
      </c>
      <c r="J68" s="2">
        <f>Ventas[[#This Row],[Cantidad]]*Ventas[[#This Row],[Precio_Unitario]]</f>
        <v>1411800</v>
      </c>
      <c r="K68" s="2">
        <f>Ventas[[#This Row],[Cantidad]]*Ventas[[#This Row],[Costo_Unitario]]</f>
        <v>927400</v>
      </c>
      <c r="L68" s="2">
        <f>Ventas[[#This Row],[Ventas_Totales]]-Ventas[[#This Row],[Costo_Total]]</f>
        <v>484400</v>
      </c>
    </row>
    <row r="69" spans="1:12">
      <c r="A69" t="s">
        <v>99</v>
      </c>
      <c r="B69" s="1">
        <v>45707</v>
      </c>
      <c r="C69" t="s">
        <v>24</v>
      </c>
      <c r="D69" t="s">
        <v>11</v>
      </c>
      <c r="E69">
        <v>5</v>
      </c>
      <c r="F69" s="2">
        <v>49300</v>
      </c>
      <c r="G69" s="2">
        <v>25400</v>
      </c>
      <c r="H69" t="s">
        <v>25</v>
      </c>
      <c r="I69" t="s">
        <v>13</v>
      </c>
      <c r="J69" s="2">
        <f>Ventas[[#This Row],[Cantidad]]*Ventas[[#This Row],[Precio_Unitario]]</f>
        <v>246500</v>
      </c>
      <c r="K69" s="2">
        <f>Ventas[[#This Row],[Cantidad]]*Ventas[[#This Row],[Costo_Unitario]]</f>
        <v>127000</v>
      </c>
      <c r="L69" s="2">
        <f>Ventas[[#This Row],[Ventas_Totales]]-Ventas[[#This Row],[Costo_Total]]</f>
        <v>119500</v>
      </c>
    </row>
    <row r="70" spans="1:12">
      <c r="A70" t="s">
        <v>100</v>
      </c>
      <c r="B70" s="1">
        <v>45707</v>
      </c>
      <c r="C70" t="s">
        <v>55</v>
      </c>
      <c r="D70" t="s">
        <v>16</v>
      </c>
      <c r="E70">
        <v>1</v>
      </c>
      <c r="F70" s="2">
        <v>230800</v>
      </c>
      <c r="G70" s="2">
        <v>151000</v>
      </c>
      <c r="H70" t="s">
        <v>25</v>
      </c>
      <c r="I70" t="s">
        <v>13</v>
      </c>
      <c r="J70" s="2">
        <f>Ventas[[#This Row],[Cantidad]]*Ventas[[#This Row],[Precio_Unitario]]</f>
        <v>230800</v>
      </c>
      <c r="K70" s="2">
        <f>Ventas[[#This Row],[Cantidad]]*Ventas[[#This Row],[Costo_Unitario]]</f>
        <v>151000</v>
      </c>
      <c r="L70" s="2">
        <f>Ventas[[#This Row],[Ventas_Totales]]-Ventas[[#This Row],[Costo_Total]]</f>
        <v>79800</v>
      </c>
    </row>
    <row r="71" spans="1:12">
      <c r="A71" t="s">
        <v>101</v>
      </c>
      <c r="B71" s="1">
        <v>45708</v>
      </c>
      <c r="C71" t="s">
        <v>55</v>
      </c>
      <c r="D71" t="s">
        <v>16</v>
      </c>
      <c r="E71">
        <v>3</v>
      </c>
      <c r="F71" s="2">
        <v>210700</v>
      </c>
      <c r="G71" s="2">
        <v>153900</v>
      </c>
      <c r="H71" t="s">
        <v>17</v>
      </c>
      <c r="I71" t="s">
        <v>72</v>
      </c>
      <c r="J71" s="2">
        <f>Ventas[[#This Row],[Cantidad]]*Ventas[[#This Row],[Precio_Unitario]]</f>
        <v>632100</v>
      </c>
      <c r="K71" s="2">
        <f>Ventas[[#This Row],[Cantidad]]*Ventas[[#This Row],[Costo_Unitario]]</f>
        <v>461700</v>
      </c>
      <c r="L71" s="2">
        <f>Ventas[[#This Row],[Ventas_Totales]]-Ventas[[#This Row],[Costo_Total]]</f>
        <v>170400</v>
      </c>
    </row>
    <row r="72" spans="1:12">
      <c r="A72" t="s">
        <v>102</v>
      </c>
      <c r="B72" s="1">
        <v>45709</v>
      </c>
      <c r="C72" t="s">
        <v>55</v>
      </c>
      <c r="D72" t="s">
        <v>16</v>
      </c>
      <c r="E72">
        <v>1</v>
      </c>
      <c r="F72" s="2">
        <v>230600</v>
      </c>
      <c r="G72" s="2">
        <v>144200</v>
      </c>
      <c r="H72" t="s">
        <v>12</v>
      </c>
      <c r="I72" t="s">
        <v>13</v>
      </c>
      <c r="J72" s="2">
        <f>Ventas[[#This Row],[Cantidad]]*Ventas[[#This Row],[Precio_Unitario]]</f>
        <v>230600</v>
      </c>
      <c r="K72" s="2">
        <f>Ventas[[#This Row],[Cantidad]]*Ventas[[#This Row],[Costo_Unitario]]</f>
        <v>144200</v>
      </c>
      <c r="L72" s="2">
        <f>Ventas[[#This Row],[Ventas_Totales]]-Ventas[[#This Row],[Costo_Total]]</f>
        <v>86400</v>
      </c>
    </row>
    <row r="73" spans="1:12">
      <c r="A73" t="s">
        <v>103</v>
      </c>
      <c r="B73" s="1">
        <v>45709</v>
      </c>
      <c r="C73" t="s">
        <v>37</v>
      </c>
      <c r="D73" t="s">
        <v>34</v>
      </c>
      <c r="E73">
        <v>3</v>
      </c>
      <c r="F73" s="2">
        <v>240700</v>
      </c>
      <c r="G73" s="2">
        <v>171900</v>
      </c>
      <c r="H73" t="s">
        <v>25</v>
      </c>
      <c r="I73" t="s">
        <v>13</v>
      </c>
      <c r="J73" s="2">
        <f>Ventas[[#This Row],[Cantidad]]*Ventas[[#This Row],[Precio_Unitario]]</f>
        <v>722100</v>
      </c>
      <c r="K73" s="2">
        <f>Ventas[[#This Row],[Cantidad]]*Ventas[[#This Row],[Costo_Unitario]]</f>
        <v>515700</v>
      </c>
      <c r="L73" s="2">
        <f>Ventas[[#This Row],[Ventas_Totales]]-Ventas[[#This Row],[Costo_Total]]</f>
        <v>206400</v>
      </c>
    </row>
    <row r="74" spans="1:12">
      <c r="A74" t="s">
        <v>104</v>
      </c>
      <c r="B74" s="1">
        <v>45710</v>
      </c>
      <c r="C74" t="s">
        <v>33</v>
      </c>
      <c r="D74" t="s">
        <v>34</v>
      </c>
      <c r="E74">
        <v>7</v>
      </c>
      <c r="F74" s="2">
        <v>191500</v>
      </c>
      <c r="G74" s="2">
        <v>112900</v>
      </c>
      <c r="H74" t="s">
        <v>22</v>
      </c>
      <c r="I74" t="s">
        <v>13</v>
      </c>
      <c r="J74" s="2">
        <f>Ventas[[#This Row],[Cantidad]]*Ventas[[#This Row],[Precio_Unitario]]</f>
        <v>1340500</v>
      </c>
      <c r="K74" s="2">
        <f>Ventas[[#This Row],[Cantidad]]*Ventas[[#This Row],[Costo_Unitario]]</f>
        <v>790300</v>
      </c>
      <c r="L74" s="2">
        <f>Ventas[[#This Row],[Ventas_Totales]]-Ventas[[#This Row],[Costo_Total]]</f>
        <v>550200</v>
      </c>
    </row>
    <row r="75" spans="1:12">
      <c r="A75" t="s">
        <v>105</v>
      </c>
      <c r="B75" s="1">
        <v>45712</v>
      </c>
      <c r="C75" t="s">
        <v>39</v>
      </c>
      <c r="D75" t="s">
        <v>11</v>
      </c>
      <c r="E75">
        <v>3</v>
      </c>
      <c r="F75" s="2">
        <v>38300</v>
      </c>
      <c r="G75" s="2">
        <v>18100</v>
      </c>
      <c r="H75" t="s">
        <v>12</v>
      </c>
      <c r="I75" t="s">
        <v>13</v>
      </c>
      <c r="J75" s="2">
        <f>Ventas[[#This Row],[Cantidad]]*Ventas[[#This Row],[Precio_Unitario]]</f>
        <v>114900</v>
      </c>
      <c r="K75" s="2">
        <f>Ventas[[#This Row],[Cantidad]]*Ventas[[#This Row],[Costo_Unitario]]</f>
        <v>54300</v>
      </c>
      <c r="L75" s="2">
        <f>Ventas[[#This Row],[Ventas_Totales]]-Ventas[[#This Row],[Costo_Total]]</f>
        <v>60600</v>
      </c>
    </row>
    <row r="76" spans="1:12">
      <c r="A76" t="s">
        <v>106</v>
      </c>
      <c r="B76" s="1">
        <v>45713</v>
      </c>
      <c r="C76" t="s">
        <v>10</v>
      </c>
      <c r="D76" t="s">
        <v>11</v>
      </c>
      <c r="E76">
        <v>5</v>
      </c>
      <c r="F76" s="2">
        <v>22800</v>
      </c>
      <c r="G76" s="2">
        <v>10400</v>
      </c>
      <c r="H76" t="s">
        <v>22</v>
      </c>
      <c r="I76" t="s">
        <v>26</v>
      </c>
      <c r="J76" s="2">
        <f>Ventas[[#This Row],[Cantidad]]*Ventas[[#This Row],[Precio_Unitario]]</f>
        <v>114000</v>
      </c>
      <c r="K76" s="2">
        <f>Ventas[[#This Row],[Cantidad]]*Ventas[[#This Row],[Costo_Unitario]]</f>
        <v>52000</v>
      </c>
      <c r="L76" s="2">
        <f>Ventas[[#This Row],[Ventas_Totales]]-Ventas[[#This Row],[Costo_Total]]</f>
        <v>62000</v>
      </c>
    </row>
    <row r="77" spans="1:12">
      <c r="A77" t="s">
        <v>107</v>
      </c>
      <c r="B77" s="1">
        <v>45714</v>
      </c>
      <c r="C77" t="s">
        <v>10</v>
      </c>
      <c r="D77" t="s">
        <v>11</v>
      </c>
      <c r="E77">
        <v>4</v>
      </c>
      <c r="F77" s="2">
        <v>22600</v>
      </c>
      <c r="G77" s="2">
        <v>10200</v>
      </c>
      <c r="H77" t="s">
        <v>25</v>
      </c>
      <c r="I77" t="s">
        <v>30</v>
      </c>
      <c r="J77" s="2">
        <f>Ventas[[#This Row],[Cantidad]]*Ventas[[#This Row],[Precio_Unitario]]</f>
        <v>90400</v>
      </c>
      <c r="K77" s="2">
        <f>Ventas[[#This Row],[Cantidad]]*Ventas[[#This Row],[Costo_Unitario]]</f>
        <v>40800</v>
      </c>
      <c r="L77" s="2">
        <f>Ventas[[#This Row],[Ventas_Totales]]-Ventas[[#This Row],[Costo_Total]]</f>
        <v>49600</v>
      </c>
    </row>
    <row r="78" spans="1:12">
      <c r="A78" t="s">
        <v>108</v>
      </c>
      <c r="B78" s="1">
        <v>45714</v>
      </c>
      <c r="C78" t="s">
        <v>24</v>
      </c>
      <c r="D78" t="s">
        <v>11</v>
      </c>
      <c r="E78">
        <v>5</v>
      </c>
      <c r="F78" s="2">
        <v>49100</v>
      </c>
      <c r="G78" s="2">
        <v>25300</v>
      </c>
      <c r="H78" t="s">
        <v>17</v>
      </c>
      <c r="I78" t="s">
        <v>13</v>
      </c>
      <c r="J78" s="2">
        <f>Ventas[[#This Row],[Cantidad]]*Ventas[[#This Row],[Precio_Unitario]]</f>
        <v>245500</v>
      </c>
      <c r="K78" s="2">
        <f>Ventas[[#This Row],[Cantidad]]*Ventas[[#This Row],[Costo_Unitario]]</f>
        <v>126500</v>
      </c>
      <c r="L78" s="2">
        <f>Ventas[[#This Row],[Ventas_Totales]]-Ventas[[#This Row],[Costo_Total]]</f>
        <v>119000</v>
      </c>
    </row>
    <row r="79" spans="1:12">
      <c r="A79" t="s">
        <v>109</v>
      </c>
      <c r="B79" s="1">
        <v>45714</v>
      </c>
      <c r="C79" t="s">
        <v>66</v>
      </c>
      <c r="D79" t="s">
        <v>34</v>
      </c>
      <c r="E79">
        <v>2</v>
      </c>
      <c r="F79" s="2">
        <v>25900</v>
      </c>
      <c r="G79" s="2">
        <v>14100</v>
      </c>
      <c r="H79" t="s">
        <v>19</v>
      </c>
      <c r="I79" t="s">
        <v>13</v>
      </c>
      <c r="J79" s="2">
        <f>Ventas[[#This Row],[Cantidad]]*Ventas[[#This Row],[Precio_Unitario]]</f>
        <v>51800</v>
      </c>
      <c r="K79" s="2">
        <f>Ventas[[#This Row],[Cantidad]]*Ventas[[#This Row],[Costo_Unitario]]</f>
        <v>28200</v>
      </c>
      <c r="L79" s="2">
        <f>Ventas[[#This Row],[Ventas_Totales]]-Ventas[[#This Row],[Costo_Total]]</f>
        <v>23600</v>
      </c>
    </row>
    <row r="80" spans="1:12">
      <c r="A80" t="s">
        <v>110</v>
      </c>
      <c r="B80" s="1">
        <v>45717</v>
      </c>
      <c r="C80" t="s">
        <v>39</v>
      </c>
      <c r="D80" t="s">
        <v>11</v>
      </c>
      <c r="E80">
        <v>4</v>
      </c>
      <c r="F80" s="2">
        <v>32300</v>
      </c>
      <c r="G80" s="2">
        <v>18500</v>
      </c>
      <c r="H80" t="s">
        <v>17</v>
      </c>
      <c r="I80" t="s">
        <v>13</v>
      </c>
      <c r="J80" s="2">
        <f>Ventas[[#This Row],[Cantidad]]*Ventas[[#This Row],[Precio_Unitario]]</f>
        <v>129200</v>
      </c>
      <c r="K80" s="2">
        <f>Ventas[[#This Row],[Cantidad]]*Ventas[[#This Row],[Costo_Unitario]]</f>
        <v>74000</v>
      </c>
      <c r="L80" s="2">
        <f>Ventas[[#This Row],[Ventas_Totales]]-Ventas[[#This Row],[Costo_Total]]</f>
        <v>55200</v>
      </c>
    </row>
    <row r="81" spans="1:12">
      <c r="A81" t="s">
        <v>111</v>
      </c>
      <c r="B81" s="1">
        <v>45717</v>
      </c>
      <c r="C81" t="s">
        <v>10</v>
      </c>
      <c r="D81" t="s">
        <v>11</v>
      </c>
      <c r="E81">
        <v>6</v>
      </c>
      <c r="F81" s="2">
        <v>23400</v>
      </c>
      <c r="G81" s="2">
        <v>9900</v>
      </c>
      <c r="H81" t="s">
        <v>25</v>
      </c>
      <c r="I81" t="s">
        <v>26</v>
      </c>
      <c r="J81" s="2">
        <f>Ventas[[#This Row],[Cantidad]]*Ventas[[#This Row],[Precio_Unitario]]</f>
        <v>140400</v>
      </c>
      <c r="K81" s="2">
        <f>Ventas[[#This Row],[Cantidad]]*Ventas[[#This Row],[Costo_Unitario]]</f>
        <v>59400</v>
      </c>
      <c r="L81" s="2">
        <f>Ventas[[#This Row],[Ventas_Totales]]-Ventas[[#This Row],[Costo_Total]]</f>
        <v>81000</v>
      </c>
    </row>
    <row r="82" spans="1:12">
      <c r="A82" t="s">
        <v>112</v>
      </c>
      <c r="B82" s="1">
        <v>45718</v>
      </c>
      <c r="C82" t="s">
        <v>37</v>
      </c>
      <c r="D82" t="s">
        <v>34</v>
      </c>
      <c r="E82">
        <v>1</v>
      </c>
      <c r="F82" s="2">
        <v>260000</v>
      </c>
      <c r="G82" s="2">
        <v>174200</v>
      </c>
      <c r="H82" t="s">
        <v>25</v>
      </c>
      <c r="I82" t="s">
        <v>13</v>
      </c>
      <c r="J82" s="2">
        <f>Ventas[[#This Row],[Cantidad]]*Ventas[[#This Row],[Precio_Unitario]]</f>
        <v>260000</v>
      </c>
      <c r="K82" s="2">
        <f>Ventas[[#This Row],[Cantidad]]*Ventas[[#This Row],[Costo_Unitario]]</f>
        <v>174200</v>
      </c>
      <c r="L82" s="2">
        <f>Ventas[[#This Row],[Ventas_Totales]]-Ventas[[#This Row],[Costo_Total]]</f>
        <v>85800</v>
      </c>
    </row>
    <row r="83" spans="1:12">
      <c r="A83" t="s">
        <v>113</v>
      </c>
      <c r="B83" s="1">
        <v>45720</v>
      </c>
      <c r="C83" t="s">
        <v>39</v>
      </c>
      <c r="D83" t="s">
        <v>11</v>
      </c>
      <c r="E83">
        <v>5</v>
      </c>
      <c r="F83" s="2">
        <v>38000</v>
      </c>
      <c r="G83" s="2">
        <v>18000</v>
      </c>
      <c r="H83" t="s">
        <v>25</v>
      </c>
      <c r="I83" t="s">
        <v>13</v>
      </c>
      <c r="J83" s="2">
        <f>Ventas[[#This Row],[Cantidad]]*Ventas[[#This Row],[Precio_Unitario]]</f>
        <v>190000</v>
      </c>
      <c r="K83" s="2">
        <f>Ventas[[#This Row],[Cantidad]]*Ventas[[#This Row],[Costo_Unitario]]</f>
        <v>90000</v>
      </c>
      <c r="L83" s="2">
        <f>Ventas[[#This Row],[Ventas_Totales]]-Ventas[[#This Row],[Costo_Total]]</f>
        <v>100000</v>
      </c>
    </row>
    <row r="84" spans="1:12">
      <c r="A84" t="s">
        <v>114</v>
      </c>
      <c r="B84" s="1">
        <v>45720</v>
      </c>
      <c r="C84" t="s">
        <v>24</v>
      </c>
      <c r="D84" t="s">
        <v>11</v>
      </c>
      <c r="E84">
        <v>6</v>
      </c>
      <c r="F84" s="2">
        <v>50800</v>
      </c>
      <c r="G84" s="2">
        <v>25500</v>
      </c>
      <c r="H84" t="s">
        <v>12</v>
      </c>
      <c r="I84" t="s">
        <v>64</v>
      </c>
      <c r="J84" s="2">
        <f>Ventas[[#This Row],[Cantidad]]*Ventas[[#This Row],[Precio_Unitario]]</f>
        <v>304800</v>
      </c>
      <c r="K84" s="2">
        <f>Ventas[[#This Row],[Cantidad]]*Ventas[[#This Row],[Costo_Unitario]]</f>
        <v>153000</v>
      </c>
      <c r="L84" s="2">
        <f>Ventas[[#This Row],[Ventas_Totales]]-Ventas[[#This Row],[Costo_Total]]</f>
        <v>151800</v>
      </c>
    </row>
    <row r="85" spans="1:12">
      <c r="A85" t="s">
        <v>115</v>
      </c>
      <c r="B85" s="1">
        <v>45721</v>
      </c>
      <c r="C85" t="s">
        <v>66</v>
      </c>
      <c r="D85" t="s">
        <v>34</v>
      </c>
      <c r="E85">
        <v>7</v>
      </c>
      <c r="F85" s="2">
        <v>27000</v>
      </c>
      <c r="G85" s="2">
        <v>14400</v>
      </c>
      <c r="H85" t="s">
        <v>12</v>
      </c>
      <c r="I85" t="s">
        <v>30</v>
      </c>
      <c r="J85" s="2">
        <f>Ventas[[#This Row],[Cantidad]]*Ventas[[#This Row],[Precio_Unitario]]</f>
        <v>189000</v>
      </c>
      <c r="K85" s="2">
        <f>Ventas[[#This Row],[Cantidad]]*Ventas[[#This Row],[Costo_Unitario]]</f>
        <v>100800</v>
      </c>
      <c r="L85" s="2">
        <f>Ventas[[#This Row],[Ventas_Totales]]-Ventas[[#This Row],[Costo_Total]]</f>
        <v>88200</v>
      </c>
    </row>
    <row r="86" spans="1:12">
      <c r="A86" t="s">
        <v>116</v>
      </c>
      <c r="B86" s="1">
        <v>45722</v>
      </c>
      <c r="C86" t="s">
        <v>47</v>
      </c>
      <c r="D86" t="s">
        <v>16</v>
      </c>
      <c r="E86">
        <v>3</v>
      </c>
      <c r="F86" s="2">
        <v>628700</v>
      </c>
      <c r="G86" s="2">
        <v>468600</v>
      </c>
      <c r="H86" t="s">
        <v>25</v>
      </c>
      <c r="I86" t="s">
        <v>26</v>
      </c>
      <c r="J86" s="2">
        <f>Ventas[[#This Row],[Cantidad]]*Ventas[[#This Row],[Precio_Unitario]]</f>
        <v>1886100</v>
      </c>
      <c r="K86" s="2">
        <f>Ventas[[#This Row],[Cantidad]]*Ventas[[#This Row],[Costo_Unitario]]</f>
        <v>1405800</v>
      </c>
      <c r="L86" s="2">
        <f>Ventas[[#This Row],[Ventas_Totales]]-Ventas[[#This Row],[Costo_Total]]</f>
        <v>480300</v>
      </c>
    </row>
    <row r="87" spans="1:12">
      <c r="A87" t="s">
        <v>117</v>
      </c>
      <c r="B87" s="1">
        <v>45722</v>
      </c>
      <c r="C87" t="s">
        <v>39</v>
      </c>
      <c r="D87" t="s">
        <v>11</v>
      </c>
      <c r="E87">
        <v>6</v>
      </c>
      <c r="F87" s="2">
        <v>34400</v>
      </c>
      <c r="G87" s="2">
        <v>17300</v>
      </c>
      <c r="H87" t="s">
        <v>22</v>
      </c>
      <c r="I87" t="s">
        <v>13</v>
      </c>
      <c r="J87" s="2">
        <f>Ventas[[#This Row],[Cantidad]]*Ventas[[#This Row],[Precio_Unitario]]</f>
        <v>206400</v>
      </c>
      <c r="K87" s="2">
        <f>Ventas[[#This Row],[Cantidad]]*Ventas[[#This Row],[Costo_Unitario]]</f>
        <v>103800</v>
      </c>
      <c r="L87" s="2">
        <f>Ventas[[#This Row],[Ventas_Totales]]-Ventas[[#This Row],[Costo_Total]]</f>
        <v>102600</v>
      </c>
    </row>
    <row r="88" spans="1:12">
      <c r="A88" t="s">
        <v>118</v>
      </c>
      <c r="B88" s="1">
        <v>45724</v>
      </c>
      <c r="C88" t="s">
        <v>24</v>
      </c>
      <c r="D88" t="s">
        <v>11</v>
      </c>
      <c r="E88">
        <v>7</v>
      </c>
      <c r="F88" s="2">
        <v>49500</v>
      </c>
      <c r="G88" s="2">
        <v>26200</v>
      </c>
      <c r="H88" t="s">
        <v>25</v>
      </c>
      <c r="I88" t="s">
        <v>13</v>
      </c>
      <c r="J88" s="2">
        <f>Ventas[[#This Row],[Cantidad]]*Ventas[[#This Row],[Precio_Unitario]]</f>
        <v>346500</v>
      </c>
      <c r="K88" s="2">
        <f>Ventas[[#This Row],[Cantidad]]*Ventas[[#This Row],[Costo_Unitario]]</f>
        <v>183400</v>
      </c>
      <c r="L88" s="2">
        <f>Ventas[[#This Row],[Ventas_Totales]]-Ventas[[#This Row],[Costo_Total]]</f>
        <v>163100</v>
      </c>
    </row>
    <row r="89" spans="1:12">
      <c r="A89" t="s">
        <v>119</v>
      </c>
      <c r="B89" s="1">
        <v>45725</v>
      </c>
      <c r="C89" t="s">
        <v>21</v>
      </c>
      <c r="D89" t="s">
        <v>11</v>
      </c>
      <c r="E89">
        <v>4</v>
      </c>
      <c r="F89" s="2">
        <v>44800</v>
      </c>
      <c r="G89" s="2">
        <v>23000</v>
      </c>
      <c r="H89" t="s">
        <v>17</v>
      </c>
      <c r="I89" t="s">
        <v>64</v>
      </c>
      <c r="J89" s="2">
        <f>Ventas[[#This Row],[Cantidad]]*Ventas[[#This Row],[Precio_Unitario]]</f>
        <v>179200</v>
      </c>
      <c r="K89" s="2">
        <f>Ventas[[#This Row],[Cantidad]]*Ventas[[#This Row],[Costo_Unitario]]</f>
        <v>92000</v>
      </c>
      <c r="L89" s="2">
        <f>Ventas[[#This Row],[Ventas_Totales]]-Ventas[[#This Row],[Costo_Total]]</f>
        <v>87200</v>
      </c>
    </row>
    <row r="90" spans="1:12">
      <c r="A90" t="s">
        <v>120</v>
      </c>
      <c r="B90" s="1">
        <v>45726</v>
      </c>
      <c r="C90" t="s">
        <v>15</v>
      </c>
      <c r="D90" t="s">
        <v>16</v>
      </c>
      <c r="E90">
        <v>7</v>
      </c>
      <c r="F90" s="2">
        <v>316200</v>
      </c>
      <c r="G90" s="2">
        <v>226700</v>
      </c>
      <c r="H90" t="s">
        <v>19</v>
      </c>
      <c r="I90" t="s">
        <v>13</v>
      </c>
      <c r="J90" s="2">
        <f>Ventas[[#This Row],[Cantidad]]*Ventas[[#This Row],[Precio_Unitario]]</f>
        <v>2213400</v>
      </c>
      <c r="K90" s="2">
        <f>Ventas[[#This Row],[Cantidad]]*Ventas[[#This Row],[Costo_Unitario]]</f>
        <v>1586900</v>
      </c>
      <c r="L90" s="2">
        <f>Ventas[[#This Row],[Ventas_Totales]]-Ventas[[#This Row],[Costo_Total]]</f>
        <v>626500</v>
      </c>
    </row>
    <row r="91" spans="1:12">
      <c r="A91" t="s">
        <v>121</v>
      </c>
      <c r="B91" s="1">
        <v>45726</v>
      </c>
      <c r="C91" t="s">
        <v>33</v>
      </c>
      <c r="D91" t="s">
        <v>34</v>
      </c>
      <c r="E91">
        <v>6</v>
      </c>
      <c r="F91" s="2">
        <v>187100</v>
      </c>
      <c r="G91" s="2">
        <v>114400</v>
      </c>
      <c r="H91" t="s">
        <v>17</v>
      </c>
      <c r="I91" t="s">
        <v>64</v>
      </c>
      <c r="J91" s="2">
        <f>Ventas[[#This Row],[Cantidad]]*Ventas[[#This Row],[Precio_Unitario]]</f>
        <v>1122600</v>
      </c>
      <c r="K91" s="2">
        <f>Ventas[[#This Row],[Cantidad]]*Ventas[[#This Row],[Costo_Unitario]]</f>
        <v>686400</v>
      </c>
      <c r="L91" s="2">
        <f>Ventas[[#This Row],[Ventas_Totales]]-Ventas[[#This Row],[Costo_Total]]</f>
        <v>436200</v>
      </c>
    </row>
    <row r="92" spans="1:12">
      <c r="A92" t="s">
        <v>122</v>
      </c>
      <c r="B92" s="1">
        <v>45727</v>
      </c>
      <c r="C92" t="s">
        <v>10</v>
      </c>
      <c r="D92" t="s">
        <v>11</v>
      </c>
      <c r="E92">
        <v>3</v>
      </c>
      <c r="F92" s="2">
        <v>24000</v>
      </c>
      <c r="G92" s="2">
        <v>10100</v>
      </c>
      <c r="H92" t="s">
        <v>17</v>
      </c>
      <c r="I92" t="s">
        <v>13</v>
      </c>
      <c r="J92" s="2">
        <f>Ventas[[#This Row],[Cantidad]]*Ventas[[#This Row],[Precio_Unitario]]</f>
        <v>72000</v>
      </c>
      <c r="K92" s="2">
        <f>Ventas[[#This Row],[Cantidad]]*Ventas[[#This Row],[Costo_Unitario]]</f>
        <v>30300</v>
      </c>
      <c r="L92" s="2">
        <f>Ventas[[#This Row],[Ventas_Totales]]-Ventas[[#This Row],[Costo_Total]]</f>
        <v>41700</v>
      </c>
    </row>
    <row r="93" spans="1:12">
      <c r="A93" t="s">
        <v>123</v>
      </c>
      <c r="B93" s="1">
        <v>45728</v>
      </c>
      <c r="C93" t="s">
        <v>55</v>
      </c>
      <c r="D93" t="s">
        <v>16</v>
      </c>
      <c r="E93">
        <v>5</v>
      </c>
      <c r="F93" s="2">
        <v>217000</v>
      </c>
      <c r="G93" s="2">
        <v>146100</v>
      </c>
      <c r="H93" t="s">
        <v>19</v>
      </c>
      <c r="I93" t="s">
        <v>30</v>
      </c>
      <c r="J93" s="2">
        <f>Ventas[[#This Row],[Cantidad]]*Ventas[[#This Row],[Precio_Unitario]]</f>
        <v>1085000</v>
      </c>
      <c r="K93" s="2">
        <f>Ventas[[#This Row],[Cantidad]]*Ventas[[#This Row],[Costo_Unitario]]</f>
        <v>730500</v>
      </c>
      <c r="L93" s="2">
        <f>Ventas[[#This Row],[Ventas_Totales]]-Ventas[[#This Row],[Costo_Total]]</f>
        <v>354500</v>
      </c>
    </row>
    <row r="94" spans="1:12">
      <c r="A94" t="s">
        <v>124</v>
      </c>
      <c r="B94" s="1">
        <v>45728</v>
      </c>
      <c r="C94" t="s">
        <v>33</v>
      </c>
      <c r="D94" t="s">
        <v>34</v>
      </c>
      <c r="E94">
        <v>1</v>
      </c>
      <c r="F94" s="2">
        <v>196100</v>
      </c>
      <c r="G94" s="2">
        <v>117200</v>
      </c>
      <c r="H94" t="s">
        <v>22</v>
      </c>
      <c r="I94" t="s">
        <v>30</v>
      </c>
      <c r="J94" s="2">
        <f>Ventas[[#This Row],[Cantidad]]*Ventas[[#This Row],[Precio_Unitario]]</f>
        <v>196100</v>
      </c>
      <c r="K94" s="2">
        <f>Ventas[[#This Row],[Cantidad]]*Ventas[[#This Row],[Costo_Unitario]]</f>
        <v>117200</v>
      </c>
      <c r="L94" s="2">
        <f>Ventas[[#This Row],[Ventas_Totales]]-Ventas[[#This Row],[Costo_Total]]</f>
        <v>78900</v>
      </c>
    </row>
    <row r="95" spans="1:12">
      <c r="A95" t="s">
        <v>125</v>
      </c>
      <c r="B95" s="1">
        <v>45731</v>
      </c>
      <c r="C95" t="s">
        <v>47</v>
      </c>
      <c r="D95" t="s">
        <v>16</v>
      </c>
      <c r="E95">
        <v>3</v>
      </c>
      <c r="F95" s="2">
        <v>603900</v>
      </c>
      <c r="G95" s="2">
        <v>456600</v>
      </c>
      <c r="H95" t="s">
        <v>12</v>
      </c>
      <c r="I95" t="s">
        <v>13</v>
      </c>
      <c r="J95" s="2">
        <f>Ventas[[#This Row],[Cantidad]]*Ventas[[#This Row],[Precio_Unitario]]</f>
        <v>1811700</v>
      </c>
      <c r="K95" s="2">
        <f>Ventas[[#This Row],[Cantidad]]*Ventas[[#This Row],[Costo_Unitario]]</f>
        <v>1369800</v>
      </c>
      <c r="L95" s="2">
        <f>Ventas[[#This Row],[Ventas_Totales]]-Ventas[[#This Row],[Costo_Total]]</f>
        <v>441900</v>
      </c>
    </row>
    <row r="96" spans="1:12">
      <c r="A96" t="s">
        <v>126</v>
      </c>
      <c r="B96" s="1">
        <v>45731</v>
      </c>
      <c r="C96" t="s">
        <v>47</v>
      </c>
      <c r="D96" t="s">
        <v>16</v>
      </c>
      <c r="E96">
        <v>3</v>
      </c>
      <c r="F96" s="2">
        <v>709500</v>
      </c>
      <c r="G96" s="2">
        <v>469800</v>
      </c>
      <c r="H96" t="s">
        <v>22</v>
      </c>
      <c r="I96" t="s">
        <v>64</v>
      </c>
      <c r="J96" s="2">
        <f>Ventas[[#This Row],[Cantidad]]*Ventas[[#This Row],[Precio_Unitario]]</f>
        <v>2128500</v>
      </c>
      <c r="K96" s="2">
        <f>Ventas[[#This Row],[Cantidad]]*Ventas[[#This Row],[Costo_Unitario]]</f>
        <v>1409400</v>
      </c>
      <c r="L96" s="2">
        <f>Ventas[[#This Row],[Ventas_Totales]]-Ventas[[#This Row],[Costo_Total]]</f>
        <v>719100</v>
      </c>
    </row>
    <row r="97" spans="1:12">
      <c r="A97" t="s">
        <v>127</v>
      </c>
      <c r="B97" s="1">
        <v>45733</v>
      </c>
      <c r="C97" t="s">
        <v>47</v>
      </c>
      <c r="D97" t="s">
        <v>16</v>
      </c>
      <c r="E97">
        <v>3</v>
      </c>
      <c r="F97" s="2">
        <v>617400</v>
      </c>
      <c r="G97" s="2">
        <v>482000</v>
      </c>
      <c r="H97" t="s">
        <v>25</v>
      </c>
      <c r="I97" t="s">
        <v>30</v>
      </c>
      <c r="J97" s="2">
        <f>Ventas[[#This Row],[Cantidad]]*Ventas[[#This Row],[Precio_Unitario]]</f>
        <v>1852200</v>
      </c>
      <c r="K97" s="2">
        <f>Ventas[[#This Row],[Cantidad]]*Ventas[[#This Row],[Costo_Unitario]]</f>
        <v>1446000</v>
      </c>
      <c r="L97" s="2">
        <f>Ventas[[#This Row],[Ventas_Totales]]-Ventas[[#This Row],[Costo_Total]]</f>
        <v>406200</v>
      </c>
    </row>
    <row r="98" spans="1:12">
      <c r="A98" t="s">
        <v>128</v>
      </c>
      <c r="B98" s="1">
        <v>45734</v>
      </c>
      <c r="C98" t="s">
        <v>10</v>
      </c>
      <c r="D98" t="s">
        <v>11</v>
      </c>
      <c r="E98">
        <v>6</v>
      </c>
      <c r="F98" s="2">
        <v>20300</v>
      </c>
      <c r="G98" s="2">
        <v>9900</v>
      </c>
      <c r="H98" t="s">
        <v>17</v>
      </c>
      <c r="I98" t="s">
        <v>13</v>
      </c>
      <c r="J98" s="2">
        <f>Ventas[[#This Row],[Cantidad]]*Ventas[[#This Row],[Precio_Unitario]]</f>
        <v>121800</v>
      </c>
      <c r="K98" s="2">
        <f>Ventas[[#This Row],[Cantidad]]*Ventas[[#This Row],[Costo_Unitario]]</f>
        <v>59400</v>
      </c>
      <c r="L98" s="2">
        <f>Ventas[[#This Row],[Ventas_Totales]]-Ventas[[#This Row],[Costo_Total]]</f>
        <v>62400</v>
      </c>
    </row>
    <row r="99" spans="1:12">
      <c r="A99" t="s">
        <v>129</v>
      </c>
      <c r="B99" s="1">
        <v>45736</v>
      </c>
      <c r="C99" t="s">
        <v>37</v>
      </c>
      <c r="D99" t="s">
        <v>34</v>
      </c>
      <c r="E99">
        <v>1</v>
      </c>
      <c r="F99" s="2">
        <v>256900</v>
      </c>
      <c r="G99" s="2">
        <v>168200</v>
      </c>
      <c r="H99" t="s">
        <v>17</v>
      </c>
      <c r="I99" t="s">
        <v>13</v>
      </c>
      <c r="J99" s="2">
        <f>Ventas[[#This Row],[Cantidad]]*Ventas[[#This Row],[Precio_Unitario]]</f>
        <v>256900</v>
      </c>
      <c r="K99" s="2">
        <f>Ventas[[#This Row],[Cantidad]]*Ventas[[#This Row],[Costo_Unitario]]</f>
        <v>168200</v>
      </c>
      <c r="L99" s="2">
        <f>Ventas[[#This Row],[Ventas_Totales]]-Ventas[[#This Row],[Costo_Total]]</f>
        <v>88700</v>
      </c>
    </row>
    <row r="100" spans="1:12">
      <c r="A100" t="s">
        <v>130</v>
      </c>
      <c r="B100" s="1">
        <v>45738</v>
      </c>
      <c r="C100" t="s">
        <v>33</v>
      </c>
      <c r="D100" t="s">
        <v>34</v>
      </c>
      <c r="E100">
        <v>1</v>
      </c>
      <c r="F100" s="2">
        <v>168900</v>
      </c>
      <c r="G100" s="2">
        <v>112900</v>
      </c>
      <c r="H100" t="s">
        <v>25</v>
      </c>
      <c r="I100" t="s">
        <v>13</v>
      </c>
      <c r="J100" s="2">
        <f>Ventas[[#This Row],[Cantidad]]*Ventas[[#This Row],[Precio_Unitario]]</f>
        <v>168900</v>
      </c>
      <c r="K100" s="2">
        <f>Ventas[[#This Row],[Cantidad]]*Ventas[[#This Row],[Costo_Unitario]]</f>
        <v>112900</v>
      </c>
      <c r="L100" s="2">
        <f>Ventas[[#This Row],[Ventas_Totales]]-Ventas[[#This Row],[Costo_Total]]</f>
        <v>56000</v>
      </c>
    </row>
    <row r="101" spans="1:12">
      <c r="A101" t="s">
        <v>131</v>
      </c>
      <c r="B101" s="1">
        <v>45739</v>
      </c>
      <c r="C101" t="s">
        <v>24</v>
      </c>
      <c r="D101" t="s">
        <v>11</v>
      </c>
      <c r="E101">
        <v>3</v>
      </c>
      <c r="F101" s="2">
        <v>52700</v>
      </c>
      <c r="G101" s="2">
        <v>25900</v>
      </c>
      <c r="H101" t="s">
        <v>22</v>
      </c>
      <c r="I101" t="s">
        <v>72</v>
      </c>
      <c r="J101" s="2">
        <f>Ventas[[#This Row],[Cantidad]]*Ventas[[#This Row],[Precio_Unitario]]</f>
        <v>158100</v>
      </c>
      <c r="K101" s="2">
        <f>Ventas[[#This Row],[Cantidad]]*Ventas[[#This Row],[Costo_Unitario]]</f>
        <v>77700</v>
      </c>
      <c r="L101" s="2">
        <f>Ventas[[#This Row],[Ventas_Totales]]-Ventas[[#This Row],[Costo_Total]]</f>
        <v>80400</v>
      </c>
    </row>
    <row r="102" spans="1:12">
      <c r="A102" t="s">
        <v>132</v>
      </c>
      <c r="B102" s="1">
        <v>45742</v>
      </c>
      <c r="C102" t="s">
        <v>10</v>
      </c>
      <c r="D102" t="s">
        <v>11</v>
      </c>
      <c r="E102">
        <v>2</v>
      </c>
      <c r="F102" s="2">
        <v>24100</v>
      </c>
      <c r="G102" s="2">
        <v>10200</v>
      </c>
      <c r="H102" t="s">
        <v>22</v>
      </c>
      <c r="I102" t="s">
        <v>13</v>
      </c>
      <c r="J102" s="2">
        <f>Ventas[[#This Row],[Cantidad]]*Ventas[[#This Row],[Precio_Unitario]]</f>
        <v>48200</v>
      </c>
      <c r="K102" s="2">
        <f>Ventas[[#This Row],[Cantidad]]*Ventas[[#This Row],[Costo_Unitario]]</f>
        <v>20400</v>
      </c>
      <c r="L102" s="2">
        <f>Ventas[[#This Row],[Ventas_Totales]]-Ventas[[#This Row],[Costo_Total]]</f>
        <v>27800</v>
      </c>
    </row>
    <row r="103" spans="1:12">
      <c r="A103" t="s">
        <v>133</v>
      </c>
      <c r="B103" s="1">
        <v>45742</v>
      </c>
      <c r="C103" t="s">
        <v>33</v>
      </c>
      <c r="D103" t="s">
        <v>34</v>
      </c>
      <c r="E103">
        <v>1</v>
      </c>
      <c r="F103" s="2">
        <v>180800</v>
      </c>
      <c r="G103" s="2">
        <v>118600</v>
      </c>
      <c r="H103" t="s">
        <v>12</v>
      </c>
      <c r="I103" t="s">
        <v>13</v>
      </c>
      <c r="J103" s="2">
        <f>Ventas[[#This Row],[Cantidad]]*Ventas[[#This Row],[Precio_Unitario]]</f>
        <v>180800</v>
      </c>
      <c r="K103" s="2">
        <f>Ventas[[#This Row],[Cantidad]]*Ventas[[#This Row],[Costo_Unitario]]</f>
        <v>118600</v>
      </c>
      <c r="L103" s="2">
        <f>Ventas[[#This Row],[Ventas_Totales]]-Ventas[[#This Row],[Costo_Total]]</f>
        <v>62200</v>
      </c>
    </row>
    <row r="104" spans="1:12">
      <c r="A104" t="s">
        <v>134</v>
      </c>
      <c r="B104" s="1">
        <v>45743</v>
      </c>
      <c r="C104" t="s">
        <v>39</v>
      </c>
      <c r="D104" t="s">
        <v>11</v>
      </c>
      <c r="E104">
        <v>2</v>
      </c>
      <c r="F104" s="2">
        <v>33600</v>
      </c>
      <c r="G104" s="2">
        <v>17500</v>
      </c>
      <c r="H104" t="s">
        <v>19</v>
      </c>
      <c r="I104" t="s">
        <v>13</v>
      </c>
      <c r="J104" s="2">
        <f>Ventas[[#This Row],[Cantidad]]*Ventas[[#This Row],[Precio_Unitario]]</f>
        <v>67200</v>
      </c>
      <c r="K104" s="2">
        <f>Ventas[[#This Row],[Cantidad]]*Ventas[[#This Row],[Costo_Unitario]]</f>
        <v>35000</v>
      </c>
      <c r="L104" s="2">
        <f>Ventas[[#This Row],[Ventas_Totales]]-Ventas[[#This Row],[Costo_Total]]</f>
        <v>32200</v>
      </c>
    </row>
    <row r="105" spans="1:12">
      <c r="A105" t="s">
        <v>135</v>
      </c>
      <c r="B105" s="1">
        <v>45743</v>
      </c>
      <c r="C105" t="s">
        <v>47</v>
      </c>
      <c r="D105" t="s">
        <v>16</v>
      </c>
      <c r="E105">
        <v>1</v>
      </c>
      <c r="F105" s="2">
        <v>607400</v>
      </c>
      <c r="G105" s="2">
        <v>461100</v>
      </c>
      <c r="H105" t="s">
        <v>19</v>
      </c>
      <c r="I105" t="s">
        <v>64</v>
      </c>
      <c r="J105" s="2">
        <f>Ventas[[#This Row],[Cantidad]]*Ventas[[#This Row],[Precio_Unitario]]</f>
        <v>607400</v>
      </c>
      <c r="K105" s="2">
        <f>Ventas[[#This Row],[Cantidad]]*Ventas[[#This Row],[Costo_Unitario]]</f>
        <v>461100</v>
      </c>
      <c r="L105" s="2">
        <f>Ventas[[#This Row],[Ventas_Totales]]-Ventas[[#This Row],[Costo_Total]]</f>
        <v>146300</v>
      </c>
    </row>
    <row r="106" spans="1:12">
      <c r="A106" t="s">
        <v>136</v>
      </c>
      <c r="B106" s="1">
        <v>45743</v>
      </c>
      <c r="C106" t="s">
        <v>47</v>
      </c>
      <c r="D106" t="s">
        <v>16</v>
      </c>
      <c r="E106">
        <v>5</v>
      </c>
      <c r="F106" s="2">
        <v>656300</v>
      </c>
      <c r="G106" s="2">
        <v>473000</v>
      </c>
      <c r="H106" t="s">
        <v>25</v>
      </c>
      <c r="I106" t="s">
        <v>64</v>
      </c>
      <c r="J106" s="2">
        <f>Ventas[[#This Row],[Cantidad]]*Ventas[[#This Row],[Precio_Unitario]]</f>
        <v>3281500</v>
      </c>
      <c r="K106" s="2">
        <f>Ventas[[#This Row],[Cantidad]]*Ventas[[#This Row],[Costo_Unitario]]</f>
        <v>2365000</v>
      </c>
      <c r="L106" s="2">
        <f>Ventas[[#This Row],[Ventas_Totales]]-Ventas[[#This Row],[Costo_Total]]</f>
        <v>916500</v>
      </c>
    </row>
    <row r="107" spans="1:12">
      <c r="A107" t="s">
        <v>137</v>
      </c>
      <c r="B107" s="1">
        <v>45744</v>
      </c>
      <c r="C107" t="s">
        <v>39</v>
      </c>
      <c r="D107" t="s">
        <v>11</v>
      </c>
      <c r="E107">
        <v>4</v>
      </c>
      <c r="F107" s="2">
        <v>37800</v>
      </c>
      <c r="G107" s="2">
        <v>18200</v>
      </c>
      <c r="H107" t="s">
        <v>12</v>
      </c>
      <c r="I107" t="s">
        <v>30</v>
      </c>
      <c r="J107" s="2">
        <f>Ventas[[#This Row],[Cantidad]]*Ventas[[#This Row],[Precio_Unitario]]</f>
        <v>151200</v>
      </c>
      <c r="K107" s="2">
        <f>Ventas[[#This Row],[Cantidad]]*Ventas[[#This Row],[Costo_Unitario]]</f>
        <v>72800</v>
      </c>
      <c r="L107" s="2">
        <f>Ventas[[#This Row],[Ventas_Totales]]-Ventas[[#This Row],[Costo_Total]]</f>
        <v>78400</v>
      </c>
    </row>
    <row r="108" spans="1:12">
      <c r="A108" t="s">
        <v>138</v>
      </c>
      <c r="B108" s="1">
        <v>45745</v>
      </c>
      <c r="C108" t="s">
        <v>39</v>
      </c>
      <c r="D108" t="s">
        <v>11</v>
      </c>
      <c r="E108">
        <v>6</v>
      </c>
      <c r="F108" s="2">
        <v>38100</v>
      </c>
      <c r="G108" s="2">
        <v>17500</v>
      </c>
      <c r="H108" t="s">
        <v>17</v>
      </c>
      <c r="I108" t="s">
        <v>13</v>
      </c>
      <c r="J108" s="2">
        <f>Ventas[[#This Row],[Cantidad]]*Ventas[[#This Row],[Precio_Unitario]]</f>
        <v>228600</v>
      </c>
      <c r="K108" s="2">
        <f>Ventas[[#This Row],[Cantidad]]*Ventas[[#This Row],[Costo_Unitario]]</f>
        <v>105000</v>
      </c>
      <c r="L108" s="2">
        <f>Ventas[[#This Row],[Ventas_Totales]]-Ventas[[#This Row],[Costo_Total]]</f>
        <v>123600</v>
      </c>
    </row>
    <row r="109" spans="1:12">
      <c r="A109" t="s">
        <v>139</v>
      </c>
      <c r="B109" s="1">
        <v>45745</v>
      </c>
      <c r="C109" t="s">
        <v>55</v>
      </c>
      <c r="D109" t="s">
        <v>16</v>
      </c>
      <c r="E109">
        <v>5</v>
      </c>
      <c r="F109" s="2">
        <v>211000</v>
      </c>
      <c r="G109" s="2">
        <v>154300</v>
      </c>
      <c r="H109" t="s">
        <v>12</v>
      </c>
      <c r="I109" t="s">
        <v>26</v>
      </c>
      <c r="J109" s="2">
        <f>Ventas[[#This Row],[Cantidad]]*Ventas[[#This Row],[Precio_Unitario]]</f>
        <v>1055000</v>
      </c>
      <c r="K109" s="2">
        <f>Ventas[[#This Row],[Cantidad]]*Ventas[[#This Row],[Costo_Unitario]]</f>
        <v>771500</v>
      </c>
      <c r="L109" s="2">
        <f>Ventas[[#This Row],[Ventas_Totales]]-Ventas[[#This Row],[Costo_Total]]</f>
        <v>283500</v>
      </c>
    </row>
    <row r="110" spans="1:12">
      <c r="A110" t="s">
        <v>140</v>
      </c>
      <c r="B110" s="1">
        <v>45746</v>
      </c>
      <c r="C110" t="s">
        <v>39</v>
      </c>
      <c r="D110" t="s">
        <v>11</v>
      </c>
      <c r="E110">
        <v>4</v>
      </c>
      <c r="F110" s="2">
        <v>35300</v>
      </c>
      <c r="G110" s="2">
        <v>18200</v>
      </c>
      <c r="H110" t="s">
        <v>17</v>
      </c>
      <c r="I110" t="s">
        <v>13</v>
      </c>
      <c r="J110" s="2">
        <f>Ventas[[#This Row],[Cantidad]]*Ventas[[#This Row],[Precio_Unitario]]</f>
        <v>141200</v>
      </c>
      <c r="K110" s="2">
        <f>Ventas[[#This Row],[Cantidad]]*Ventas[[#This Row],[Costo_Unitario]]</f>
        <v>72800</v>
      </c>
      <c r="L110" s="2">
        <f>Ventas[[#This Row],[Ventas_Totales]]-Ventas[[#This Row],[Costo_Total]]</f>
        <v>68400</v>
      </c>
    </row>
    <row r="111" spans="1:12">
      <c r="A111" t="s">
        <v>141</v>
      </c>
      <c r="B111" s="1">
        <v>45746</v>
      </c>
      <c r="C111" t="s">
        <v>47</v>
      </c>
      <c r="D111" t="s">
        <v>16</v>
      </c>
      <c r="E111">
        <v>1</v>
      </c>
      <c r="F111" s="2">
        <v>686200</v>
      </c>
      <c r="G111" s="2">
        <v>461900</v>
      </c>
      <c r="H111" t="s">
        <v>22</v>
      </c>
      <c r="I111" t="s">
        <v>64</v>
      </c>
      <c r="J111" s="2">
        <f>Ventas[[#This Row],[Cantidad]]*Ventas[[#This Row],[Precio_Unitario]]</f>
        <v>686200</v>
      </c>
      <c r="K111" s="2">
        <f>Ventas[[#This Row],[Cantidad]]*Ventas[[#This Row],[Costo_Unitario]]</f>
        <v>461900</v>
      </c>
      <c r="L111" s="2">
        <f>Ventas[[#This Row],[Ventas_Totales]]-Ventas[[#This Row],[Costo_Total]]</f>
        <v>224300</v>
      </c>
    </row>
    <row r="112" spans="1:12">
      <c r="A112" t="s">
        <v>142</v>
      </c>
      <c r="B112" s="1">
        <v>45746</v>
      </c>
      <c r="C112" t="s">
        <v>10</v>
      </c>
      <c r="D112" t="s">
        <v>11</v>
      </c>
      <c r="E112">
        <v>7</v>
      </c>
      <c r="F112" s="2">
        <v>21600</v>
      </c>
      <c r="G112" s="2">
        <v>10000</v>
      </c>
      <c r="H112" t="s">
        <v>17</v>
      </c>
      <c r="I112" t="s">
        <v>72</v>
      </c>
      <c r="J112" s="2">
        <f>Ventas[[#This Row],[Cantidad]]*Ventas[[#This Row],[Precio_Unitario]]</f>
        <v>151200</v>
      </c>
      <c r="K112" s="2">
        <f>Ventas[[#This Row],[Cantidad]]*Ventas[[#This Row],[Costo_Unitario]]</f>
        <v>70000</v>
      </c>
      <c r="L112" s="2">
        <f>Ventas[[#This Row],[Ventas_Totales]]-Ventas[[#This Row],[Costo_Total]]</f>
        <v>81200</v>
      </c>
    </row>
    <row r="113" spans="1:12">
      <c r="A113" t="s">
        <v>143</v>
      </c>
      <c r="B113" s="1">
        <v>45747</v>
      </c>
      <c r="C113" t="s">
        <v>24</v>
      </c>
      <c r="D113" t="s">
        <v>11</v>
      </c>
      <c r="E113">
        <v>2</v>
      </c>
      <c r="F113" s="2">
        <v>47800</v>
      </c>
      <c r="G113" s="2">
        <v>26100</v>
      </c>
      <c r="H113" t="s">
        <v>22</v>
      </c>
      <c r="I113" t="s">
        <v>30</v>
      </c>
      <c r="J113" s="2">
        <f>Ventas[[#This Row],[Cantidad]]*Ventas[[#This Row],[Precio_Unitario]]</f>
        <v>95600</v>
      </c>
      <c r="K113" s="2">
        <f>Ventas[[#This Row],[Cantidad]]*Ventas[[#This Row],[Costo_Unitario]]</f>
        <v>52200</v>
      </c>
      <c r="L113" s="2">
        <f>Ventas[[#This Row],[Ventas_Totales]]-Ventas[[#This Row],[Costo_Total]]</f>
        <v>43400</v>
      </c>
    </row>
    <row r="114" spans="1:12">
      <c r="A114" t="s">
        <v>144</v>
      </c>
      <c r="B114" s="1">
        <v>45747</v>
      </c>
      <c r="C114" t="s">
        <v>24</v>
      </c>
      <c r="D114" t="s">
        <v>11</v>
      </c>
      <c r="E114">
        <v>4</v>
      </c>
      <c r="F114" s="2">
        <v>52200</v>
      </c>
      <c r="G114" s="2">
        <v>25800</v>
      </c>
      <c r="H114" t="s">
        <v>17</v>
      </c>
      <c r="I114" t="s">
        <v>72</v>
      </c>
      <c r="J114" s="2">
        <f>Ventas[[#This Row],[Cantidad]]*Ventas[[#This Row],[Precio_Unitario]]</f>
        <v>208800</v>
      </c>
      <c r="K114" s="2">
        <f>Ventas[[#This Row],[Cantidad]]*Ventas[[#This Row],[Costo_Unitario]]</f>
        <v>103200</v>
      </c>
      <c r="L114" s="2">
        <f>Ventas[[#This Row],[Ventas_Totales]]-Ventas[[#This Row],[Costo_Total]]</f>
        <v>105600</v>
      </c>
    </row>
    <row r="115" spans="1:12">
      <c r="A115" t="s">
        <v>145</v>
      </c>
      <c r="B115" s="1">
        <v>45747</v>
      </c>
      <c r="C115" t="s">
        <v>37</v>
      </c>
      <c r="D115" t="s">
        <v>34</v>
      </c>
      <c r="E115">
        <v>3</v>
      </c>
      <c r="F115" s="2">
        <v>263600</v>
      </c>
      <c r="G115" s="2">
        <v>178000</v>
      </c>
      <c r="H115" t="s">
        <v>19</v>
      </c>
      <c r="I115" t="s">
        <v>26</v>
      </c>
      <c r="J115" s="2">
        <f>Ventas[[#This Row],[Cantidad]]*Ventas[[#This Row],[Precio_Unitario]]</f>
        <v>790800</v>
      </c>
      <c r="K115" s="2">
        <f>Ventas[[#This Row],[Cantidad]]*Ventas[[#This Row],[Costo_Unitario]]</f>
        <v>534000</v>
      </c>
      <c r="L115" s="2">
        <f>Ventas[[#This Row],[Ventas_Totales]]-Ventas[[#This Row],[Costo_Total]]</f>
        <v>256800</v>
      </c>
    </row>
    <row r="116" spans="1:12">
      <c r="A116" t="s">
        <v>146</v>
      </c>
      <c r="B116" s="1">
        <v>45749</v>
      </c>
      <c r="C116" t="s">
        <v>37</v>
      </c>
      <c r="D116" t="s">
        <v>34</v>
      </c>
      <c r="E116">
        <v>1</v>
      </c>
      <c r="F116" s="2">
        <v>277900</v>
      </c>
      <c r="G116" s="2">
        <v>175600</v>
      </c>
      <c r="H116" t="s">
        <v>19</v>
      </c>
      <c r="I116" t="s">
        <v>64</v>
      </c>
      <c r="J116" s="2">
        <f>Ventas[[#This Row],[Cantidad]]*Ventas[[#This Row],[Precio_Unitario]]</f>
        <v>277900</v>
      </c>
      <c r="K116" s="2">
        <f>Ventas[[#This Row],[Cantidad]]*Ventas[[#This Row],[Costo_Unitario]]</f>
        <v>175600</v>
      </c>
      <c r="L116" s="2">
        <f>Ventas[[#This Row],[Ventas_Totales]]-Ventas[[#This Row],[Costo_Total]]</f>
        <v>102300</v>
      </c>
    </row>
    <row r="117" spans="1:12">
      <c r="A117" t="s">
        <v>147</v>
      </c>
      <c r="B117" s="1">
        <v>45750</v>
      </c>
      <c r="C117" t="s">
        <v>10</v>
      </c>
      <c r="D117" t="s">
        <v>11</v>
      </c>
      <c r="E117">
        <v>1</v>
      </c>
      <c r="F117" s="2">
        <v>20400</v>
      </c>
      <c r="G117" s="2">
        <v>10000</v>
      </c>
      <c r="H117" t="s">
        <v>25</v>
      </c>
      <c r="I117" t="s">
        <v>26</v>
      </c>
      <c r="J117" s="2">
        <f>Ventas[[#This Row],[Cantidad]]*Ventas[[#This Row],[Precio_Unitario]]</f>
        <v>20400</v>
      </c>
      <c r="K117" s="2">
        <f>Ventas[[#This Row],[Cantidad]]*Ventas[[#This Row],[Costo_Unitario]]</f>
        <v>10000</v>
      </c>
      <c r="L117" s="2">
        <f>Ventas[[#This Row],[Ventas_Totales]]-Ventas[[#This Row],[Costo_Total]]</f>
        <v>10400</v>
      </c>
    </row>
    <row r="118" spans="1:12">
      <c r="A118" t="s">
        <v>148</v>
      </c>
      <c r="B118" s="1">
        <v>45751</v>
      </c>
      <c r="C118" t="s">
        <v>47</v>
      </c>
      <c r="D118" t="s">
        <v>16</v>
      </c>
      <c r="E118">
        <v>3</v>
      </c>
      <c r="F118" s="2">
        <v>645600</v>
      </c>
      <c r="G118" s="2">
        <v>486600</v>
      </c>
      <c r="H118" t="s">
        <v>25</v>
      </c>
      <c r="I118" t="s">
        <v>64</v>
      </c>
      <c r="J118" s="2">
        <f>Ventas[[#This Row],[Cantidad]]*Ventas[[#This Row],[Precio_Unitario]]</f>
        <v>1936800</v>
      </c>
      <c r="K118" s="2">
        <f>Ventas[[#This Row],[Cantidad]]*Ventas[[#This Row],[Costo_Unitario]]</f>
        <v>1459800</v>
      </c>
      <c r="L118" s="2">
        <f>Ventas[[#This Row],[Ventas_Totales]]-Ventas[[#This Row],[Costo_Total]]</f>
        <v>477000</v>
      </c>
    </row>
    <row r="119" spans="1:12">
      <c r="A119" t="s">
        <v>149</v>
      </c>
      <c r="B119" s="1">
        <v>45752</v>
      </c>
      <c r="C119" t="s">
        <v>66</v>
      </c>
      <c r="D119" t="s">
        <v>34</v>
      </c>
      <c r="E119">
        <v>7</v>
      </c>
      <c r="F119" s="2">
        <v>29300</v>
      </c>
      <c r="G119" s="2">
        <v>14200</v>
      </c>
      <c r="H119" t="s">
        <v>22</v>
      </c>
      <c r="I119" t="s">
        <v>64</v>
      </c>
      <c r="J119" s="2">
        <f>Ventas[[#This Row],[Cantidad]]*Ventas[[#This Row],[Precio_Unitario]]</f>
        <v>205100</v>
      </c>
      <c r="K119" s="2">
        <f>Ventas[[#This Row],[Cantidad]]*Ventas[[#This Row],[Costo_Unitario]]</f>
        <v>99400</v>
      </c>
      <c r="L119" s="2">
        <f>Ventas[[#This Row],[Ventas_Totales]]-Ventas[[#This Row],[Costo_Total]]</f>
        <v>105700</v>
      </c>
    </row>
    <row r="120" spans="1:12">
      <c r="A120" t="s">
        <v>150</v>
      </c>
      <c r="B120" s="1">
        <v>45753</v>
      </c>
      <c r="C120" t="s">
        <v>21</v>
      </c>
      <c r="D120" t="s">
        <v>11</v>
      </c>
      <c r="E120">
        <v>7</v>
      </c>
      <c r="F120" s="2">
        <v>39200</v>
      </c>
      <c r="G120" s="2">
        <v>23400</v>
      </c>
      <c r="H120" t="s">
        <v>12</v>
      </c>
      <c r="I120" t="s">
        <v>13</v>
      </c>
      <c r="J120" s="2">
        <f>Ventas[[#This Row],[Cantidad]]*Ventas[[#This Row],[Precio_Unitario]]</f>
        <v>274400</v>
      </c>
      <c r="K120" s="2">
        <f>Ventas[[#This Row],[Cantidad]]*Ventas[[#This Row],[Costo_Unitario]]</f>
        <v>163800</v>
      </c>
      <c r="L120" s="2">
        <f>Ventas[[#This Row],[Ventas_Totales]]-Ventas[[#This Row],[Costo_Total]]</f>
        <v>110600</v>
      </c>
    </row>
    <row r="121" spans="1:12">
      <c r="A121" t="s">
        <v>151</v>
      </c>
      <c r="B121" s="1">
        <v>45754</v>
      </c>
      <c r="C121" t="s">
        <v>10</v>
      </c>
      <c r="D121" t="s">
        <v>11</v>
      </c>
      <c r="E121">
        <v>5</v>
      </c>
      <c r="F121" s="2">
        <v>23400</v>
      </c>
      <c r="G121" s="2">
        <v>10300</v>
      </c>
      <c r="H121" t="s">
        <v>17</v>
      </c>
      <c r="I121" t="s">
        <v>26</v>
      </c>
      <c r="J121" s="2">
        <f>Ventas[[#This Row],[Cantidad]]*Ventas[[#This Row],[Precio_Unitario]]</f>
        <v>117000</v>
      </c>
      <c r="K121" s="2">
        <f>Ventas[[#This Row],[Cantidad]]*Ventas[[#This Row],[Costo_Unitario]]</f>
        <v>51500</v>
      </c>
      <c r="L121" s="2">
        <f>Ventas[[#This Row],[Ventas_Totales]]-Ventas[[#This Row],[Costo_Total]]</f>
        <v>65500</v>
      </c>
    </row>
    <row r="122" spans="1:12">
      <c r="A122" t="s">
        <v>152</v>
      </c>
      <c r="B122" s="1">
        <v>45755</v>
      </c>
      <c r="C122" t="s">
        <v>33</v>
      </c>
      <c r="D122" t="s">
        <v>34</v>
      </c>
      <c r="E122">
        <v>3</v>
      </c>
      <c r="F122" s="2">
        <v>193800</v>
      </c>
      <c r="G122" s="2">
        <v>116200</v>
      </c>
      <c r="H122" t="s">
        <v>12</v>
      </c>
      <c r="I122" t="s">
        <v>13</v>
      </c>
      <c r="J122" s="2">
        <f>Ventas[[#This Row],[Cantidad]]*Ventas[[#This Row],[Precio_Unitario]]</f>
        <v>581400</v>
      </c>
      <c r="K122" s="2">
        <f>Ventas[[#This Row],[Cantidad]]*Ventas[[#This Row],[Costo_Unitario]]</f>
        <v>348600</v>
      </c>
      <c r="L122" s="2">
        <f>Ventas[[#This Row],[Ventas_Totales]]-Ventas[[#This Row],[Costo_Total]]</f>
        <v>232800</v>
      </c>
    </row>
    <row r="123" spans="1:12">
      <c r="A123" t="s">
        <v>153</v>
      </c>
      <c r="B123" s="1">
        <v>45755</v>
      </c>
      <c r="C123" t="s">
        <v>15</v>
      </c>
      <c r="D123" t="s">
        <v>16</v>
      </c>
      <c r="E123">
        <v>2</v>
      </c>
      <c r="F123" s="2">
        <v>293200</v>
      </c>
      <c r="G123" s="2">
        <v>227100</v>
      </c>
      <c r="H123" t="s">
        <v>22</v>
      </c>
      <c r="I123" t="s">
        <v>26</v>
      </c>
      <c r="J123" s="2">
        <f>Ventas[[#This Row],[Cantidad]]*Ventas[[#This Row],[Precio_Unitario]]</f>
        <v>586400</v>
      </c>
      <c r="K123" s="2">
        <f>Ventas[[#This Row],[Cantidad]]*Ventas[[#This Row],[Costo_Unitario]]</f>
        <v>454200</v>
      </c>
      <c r="L123" s="2">
        <f>Ventas[[#This Row],[Ventas_Totales]]-Ventas[[#This Row],[Costo_Total]]</f>
        <v>132200</v>
      </c>
    </row>
    <row r="124" spans="1:12">
      <c r="A124" t="s">
        <v>154</v>
      </c>
      <c r="B124" s="1">
        <v>45756</v>
      </c>
      <c r="C124" t="s">
        <v>39</v>
      </c>
      <c r="D124" t="s">
        <v>11</v>
      </c>
      <c r="E124">
        <v>2</v>
      </c>
      <c r="F124" s="2">
        <v>37100</v>
      </c>
      <c r="G124" s="2">
        <v>18200</v>
      </c>
      <c r="H124" t="s">
        <v>25</v>
      </c>
      <c r="I124" t="s">
        <v>13</v>
      </c>
      <c r="J124" s="2">
        <f>Ventas[[#This Row],[Cantidad]]*Ventas[[#This Row],[Precio_Unitario]]</f>
        <v>74200</v>
      </c>
      <c r="K124" s="2">
        <f>Ventas[[#This Row],[Cantidad]]*Ventas[[#This Row],[Costo_Unitario]]</f>
        <v>36400</v>
      </c>
      <c r="L124" s="2">
        <f>Ventas[[#This Row],[Ventas_Totales]]-Ventas[[#This Row],[Costo_Total]]</f>
        <v>37800</v>
      </c>
    </row>
    <row r="125" spans="1:12">
      <c r="A125" t="s">
        <v>155</v>
      </c>
      <c r="B125" s="1">
        <v>45756</v>
      </c>
      <c r="C125" t="s">
        <v>37</v>
      </c>
      <c r="D125" t="s">
        <v>34</v>
      </c>
      <c r="E125">
        <v>7</v>
      </c>
      <c r="F125" s="2">
        <v>242500</v>
      </c>
      <c r="G125" s="2">
        <v>174700</v>
      </c>
      <c r="H125" t="s">
        <v>17</v>
      </c>
      <c r="I125" t="s">
        <v>13</v>
      </c>
      <c r="J125" s="2">
        <f>Ventas[[#This Row],[Cantidad]]*Ventas[[#This Row],[Precio_Unitario]]</f>
        <v>1697500</v>
      </c>
      <c r="K125" s="2">
        <f>Ventas[[#This Row],[Cantidad]]*Ventas[[#This Row],[Costo_Unitario]]</f>
        <v>1222900</v>
      </c>
      <c r="L125" s="2">
        <f>Ventas[[#This Row],[Ventas_Totales]]-Ventas[[#This Row],[Costo_Total]]</f>
        <v>474600</v>
      </c>
    </row>
    <row r="126" spans="1:12">
      <c r="A126" t="s">
        <v>156</v>
      </c>
      <c r="B126" s="1">
        <v>45758</v>
      </c>
      <c r="C126" t="s">
        <v>33</v>
      </c>
      <c r="D126" t="s">
        <v>34</v>
      </c>
      <c r="E126">
        <v>4</v>
      </c>
      <c r="F126" s="2">
        <v>194500</v>
      </c>
      <c r="G126" s="2">
        <v>110400</v>
      </c>
      <c r="H126" t="s">
        <v>25</v>
      </c>
      <c r="I126" t="s">
        <v>13</v>
      </c>
      <c r="J126" s="2">
        <f>Ventas[[#This Row],[Cantidad]]*Ventas[[#This Row],[Precio_Unitario]]</f>
        <v>778000</v>
      </c>
      <c r="K126" s="2">
        <f>Ventas[[#This Row],[Cantidad]]*Ventas[[#This Row],[Costo_Unitario]]</f>
        <v>441600</v>
      </c>
      <c r="L126" s="2">
        <f>Ventas[[#This Row],[Ventas_Totales]]-Ventas[[#This Row],[Costo_Total]]</f>
        <v>336400</v>
      </c>
    </row>
    <row r="127" spans="1:12">
      <c r="A127" t="s">
        <v>157</v>
      </c>
      <c r="B127" s="1">
        <v>45758</v>
      </c>
      <c r="C127" t="s">
        <v>21</v>
      </c>
      <c r="D127" t="s">
        <v>11</v>
      </c>
      <c r="E127">
        <v>6</v>
      </c>
      <c r="F127" s="2">
        <v>44400</v>
      </c>
      <c r="G127" s="2">
        <v>22700</v>
      </c>
      <c r="H127" t="s">
        <v>12</v>
      </c>
      <c r="I127" t="s">
        <v>30</v>
      </c>
      <c r="J127" s="2">
        <f>Ventas[[#This Row],[Cantidad]]*Ventas[[#This Row],[Precio_Unitario]]</f>
        <v>266400</v>
      </c>
      <c r="K127" s="2">
        <f>Ventas[[#This Row],[Cantidad]]*Ventas[[#This Row],[Costo_Unitario]]</f>
        <v>136200</v>
      </c>
      <c r="L127" s="2">
        <f>Ventas[[#This Row],[Ventas_Totales]]-Ventas[[#This Row],[Costo_Total]]</f>
        <v>130200</v>
      </c>
    </row>
    <row r="128" spans="1:12">
      <c r="A128" t="s">
        <v>158</v>
      </c>
      <c r="B128" s="1">
        <v>45759</v>
      </c>
      <c r="C128" t="s">
        <v>21</v>
      </c>
      <c r="D128" t="s">
        <v>11</v>
      </c>
      <c r="E128">
        <v>7</v>
      </c>
      <c r="F128" s="2">
        <v>44400</v>
      </c>
      <c r="G128" s="2">
        <v>23900</v>
      </c>
      <c r="H128" t="s">
        <v>17</v>
      </c>
      <c r="I128" t="s">
        <v>13</v>
      </c>
      <c r="J128" s="2">
        <f>Ventas[[#This Row],[Cantidad]]*Ventas[[#This Row],[Precio_Unitario]]</f>
        <v>310800</v>
      </c>
      <c r="K128" s="2">
        <f>Ventas[[#This Row],[Cantidad]]*Ventas[[#This Row],[Costo_Unitario]]</f>
        <v>167300</v>
      </c>
      <c r="L128" s="2">
        <f>Ventas[[#This Row],[Ventas_Totales]]-Ventas[[#This Row],[Costo_Total]]</f>
        <v>143500</v>
      </c>
    </row>
    <row r="129" spans="1:12">
      <c r="A129" t="s">
        <v>159</v>
      </c>
      <c r="B129" s="1">
        <v>45760</v>
      </c>
      <c r="C129" t="s">
        <v>47</v>
      </c>
      <c r="D129" t="s">
        <v>16</v>
      </c>
      <c r="E129">
        <v>1</v>
      </c>
      <c r="F129" s="2">
        <v>677900</v>
      </c>
      <c r="G129" s="2">
        <v>454000</v>
      </c>
      <c r="H129" t="s">
        <v>17</v>
      </c>
      <c r="I129" t="s">
        <v>64</v>
      </c>
      <c r="J129" s="2">
        <f>Ventas[[#This Row],[Cantidad]]*Ventas[[#This Row],[Precio_Unitario]]</f>
        <v>677900</v>
      </c>
      <c r="K129" s="2">
        <f>Ventas[[#This Row],[Cantidad]]*Ventas[[#This Row],[Costo_Unitario]]</f>
        <v>454000</v>
      </c>
      <c r="L129" s="2">
        <f>Ventas[[#This Row],[Ventas_Totales]]-Ventas[[#This Row],[Costo_Total]]</f>
        <v>223900</v>
      </c>
    </row>
    <row r="130" spans="1:12">
      <c r="A130" t="s">
        <v>160</v>
      </c>
      <c r="B130" s="1">
        <v>45761</v>
      </c>
      <c r="C130" t="s">
        <v>10</v>
      </c>
      <c r="D130" t="s">
        <v>11</v>
      </c>
      <c r="E130">
        <v>2</v>
      </c>
      <c r="F130" s="2">
        <v>21900</v>
      </c>
      <c r="G130" s="2">
        <v>9700</v>
      </c>
      <c r="H130" t="s">
        <v>17</v>
      </c>
      <c r="I130" t="s">
        <v>64</v>
      </c>
      <c r="J130" s="2">
        <f>Ventas[[#This Row],[Cantidad]]*Ventas[[#This Row],[Precio_Unitario]]</f>
        <v>43800</v>
      </c>
      <c r="K130" s="2">
        <f>Ventas[[#This Row],[Cantidad]]*Ventas[[#This Row],[Costo_Unitario]]</f>
        <v>19400</v>
      </c>
      <c r="L130" s="2">
        <f>Ventas[[#This Row],[Ventas_Totales]]-Ventas[[#This Row],[Costo_Total]]</f>
        <v>24400</v>
      </c>
    </row>
    <row r="131" spans="1:12">
      <c r="A131" t="s">
        <v>161</v>
      </c>
      <c r="B131" s="1">
        <v>45761</v>
      </c>
      <c r="C131" t="s">
        <v>37</v>
      </c>
      <c r="D131" t="s">
        <v>34</v>
      </c>
      <c r="E131">
        <v>2</v>
      </c>
      <c r="F131" s="2">
        <v>251900</v>
      </c>
      <c r="G131" s="2">
        <v>180500</v>
      </c>
      <c r="H131" t="s">
        <v>25</v>
      </c>
      <c r="I131" t="s">
        <v>26</v>
      </c>
      <c r="J131" s="2">
        <f>Ventas[[#This Row],[Cantidad]]*Ventas[[#This Row],[Precio_Unitario]]</f>
        <v>503800</v>
      </c>
      <c r="K131" s="2">
        <f>Ventas[[#This Row],[Cantidad]]*Ventas[[#This Row],[Costo_Unitario]]</f>
        <v>361000</v>
      </c>
      <c r="L131" s="2">
        <f>Ventas[[#This Row],[Ventas_Totales]]-Ventas[[#This Row],[Costo_Total]]</f>
        <v>142800</v>
      </c>
    </row>
    <row r="132" spans="1:12">
      <c r="A132" t="s">
        <v>162</v>
      </c>
      <c r="B132" s="1">
        <v>45761</v>
      </c>
      <c r="C132" t="s">
        <v>47</v>
      </c>
      <c r="D132" t="s">
        <v>16</v>
      </c>
      <c r="E132">
        <v>7</v>
      </c>
      <c r="F132" s="2">
        <v>609700</v>
      </c>
      <c r="G132" s="2">
        <v>475800</v>
      </c>
      <c r="H132" t="s">
        <v>12</v>
      </c>
      <c r="I132" t="s">
        <v>13</v>
      </c>
      <c r="J132" s="2">
        <f>Ventas[[#This Row],[Cantidad]]*Ventas[[#This Row],[Precio_Unitario]]</f>
        <v>4267900</v>
      </c>
      <c r="K132" s="2">
        <f>Ventas[[#This Row],[Cantidad]]*Ventas[[#This Row],[Costo_Unitario]]</f>
        <v>3330600</v>
      </c>
      <c r="L132" s="2">
        <f>Ventas[[#This Row],[Ventas_Totales]]-Ventas[[#This Row],[Costo_Total]]</f>
        <v>937300</v>
      </c>
    </row>
    <row r="133" spans="1:12">
      <c r="A133" t="s">
        <v>163</v>
      </c>
      <c r="B133" s="1">
        <v>45763</v>
      </c>
      <c r="C133" t="s">
        <v>33</v>
      </c>
      <c r="D133" t="s">
        <v>34</v>
      </c>
      <c r="E133">
        <v>1</v>
      </c>
      <c r="F133" s="2">
        <v>179900</v>
      </c>
      <c r="G133" s="2">
        <v>111800</v>
      </c>
      <c r="H133" t="s">
        <v>19</v>
      </c>
      <c r="I133" t="s">
        <v>30</v>
      </c>
      <c r="J133" s="2">
        <f>Ventas[[#This Row],[Cantidad]]*Ventas[[#This Row],[Precio_Unitario]]</f>
        <v>179900</v>
      </c>
      <c r="K133" s="2">
        <f>Ventas[[#This Row],[Cantidad]]*Ventas[[#This Row],[Costo_Unitario]]</f>
        <v>111800</v>
      </c>
      <c r="L133" s="2">
        <f>Ventas[[#This Row],[Ventas_Totales]]-Ventas[[#This Row],[Costo_Total]]</f>
        <v>68100</v>
      </c>
    </row>
    <row r="134" spans="1:12">
      <c r="A134" t="s">
        <v>164</v>
      </c>
      <c r="B134" s="1">
        <v>45763</v>
      </c>
      <c r="C134" t="s">
        <v>55</v>
      </c>
      <c r="D134" t="s">
        <v>16</v>
      </c>
      <c r="E134">
        <v>1</v>
      </c>
      <c r="F134" s="2">
        <v>207900</v>
      </c>
      <c r="G134" s="2">
        <v>154300</v>
      </c>
      <c r="H134" t="s">
        <v>12</v>
      </c>
      <c r="I134" t="s">
        <v>64</v>
      </c>
      <c r="J134" s="2">
        <f>Ventas[[#This Row],[Cantidad]]*Ventas[[#This Row],[Precio_Unitario]]</f>
        <v>207900</v>
      </c>
      <c r="K134" s="2">
        <f>Ventas[[#This Row],[Cantidad]]*Ventas[[#This Row],[Costo_Unitario]]</f>
        <v>154300</v>
      </c>
      <c r="L134" s="2">
        <f>Ventas[[#This Row],[Ventas_Totales]]-Ventas[[#This Row],[Costo_Total]]</f>
        <v>53600</v>
      </c>
    </row>
    <row r="135" spans="1:12">
      <c r="A135" t="s">
        <v>165</v>
      </c>
      <c r="B135" s="1">
        <v>45764</v>
      </c>
      <c r="C135" t="s">
        <v>39</v>
      </c>
      <c r="D135" t="s">
        <v>11</v>
      </c>
      <c r="E135">
        <v>5</v>
      </c>
      <c r="F135" s="2">
        <v>33600</v>
      </c>
      <c r="G135" s="2">
        <v>17900</v>
      </c>
      <c r="H135" t="s">
        <v>19</v>
      </c>
      <c r="I135" t="s">
        <v>13</v>
      </c>
      <c r="J135" s="2">
        <f>Ventas[[#This Row],[Cantidad]]*Ventas[[#This Row],[Precio_Unitario]]</f>
        <v>168000</v>
      </c>
      <c r="K135" s="2">
        <f>Ventas[[#This Row],[Cantidad]]*Ventas[[#This Row],[Costo_Unitario]]</f>
        <v>89500</v>
      </c>
      <c r="L135" s="2">
        <f>Ventas[[#This Row],[Ventas_Totales]]-Ventas[[#This Row],[Costo_Total]]</f>
        <v>78500</v>
      </c>
    </row>
    <row r="136" spans="1:12">
      <c r="A136" t="s">
        <v>166</v>
      </c>
      <c r="B136" s="1">
        <v>45765</v>
      </c>
      <c r="C136" t="s">
        <v>33</v>
      </c>
      <c r="D136" t="s">
        <v>34</v>
      </c>
      <c r="E136">
        <v>7</v>
      </c>
      <c r="F136" s="2">
        <v>193000</v>
      </c>
      <c r="G136" s="2">
        <v>119500</v>
      </c>
      <c r="H136" t="s">
        <v>19</v>
      </c>
      <c r="I136" t="s">
        <v>26</v>
      </c>
      <c r="J136" s="2">
        <f>Ventas[[#This Row],[Cantidad]]*Ventas[[#This Row],[Precio_Unitario]]</f>
        <v>1351000</v>
      </c>
      <c r="K136" s="2">
        <f>Ventas[[#This Row],[Cantidad]]*Ventas[[#This Row],[Costo_Unitario]]</f>
        <v>836500</v>
      </c>
      <c r="L136" s="2">
        <f>Ventas[[#This Row],[Ventas_Totales]]-Ventas[[#This Row],[Costo_Total]]</f>
        <v>514500</v>
      </c>
    </row>
    <row r="137" spans="1:12">
      <c r="A137" t="s">
        <v>167</v>
      </c>
      <c r="B137" s="1">
        <v>45766</v>
      </c>
      <c r="C137" t="s">
        <v>47</v>
      </c>
      <c r="D137" t="s">
        <v>16</v>
      </c>
      <c r="E137">
        <v>3</v>
      </c>
      <c r="F137" s="2">
        <v>609300</v>
      </c>
      <c r="G137" s="2">
        <v>485100</v>
      </c>
      <c r="H137" t="s">
        <v>19</v>
      </c>
      <c r="I137" t="s">
        <v>30</v>
      </c>
      <c r="J137" s="2">
        <f>Ventas[[#This Row],[Cantidad]]*Ventas[[#This Row],[Precio_Unitario]]</f>
        <v>1827900</v>
      </c>
      <c r="K137" s="2">
        <f>Ventas[[#This Row],[Cantidad]]*Ventas[[#This Row],[Costo_Unitario]]</f>
        <v>1455300</v>
      </c>
      <c r="L137" s="2">
        <f>Ventas[[#This Row],[Ventas_Totales]]-Ventas[[#This Row],[Costo_Total]]</f>
        <v>372600</v>
      </c>
    </row>
    <row r="138" spans="1:12">
      <c r="A138" t="s">
        <v>168</v>
      </c>
      <c r="B138" s="1">
        <v>45766</v>
      </c>
      <c r="C138" t="s">
        <v>24</v>
      </c>
      <c r="D138" t="s">
        <v>11</v>
      </c>
      <c r="E138">
        <v>1</v>
      </c>
      <c r="F138" s="2">
        <v>46300</v>
      </c>
      <c r="G138" s="2">
        <v>26400</v>
      </c>
      <c r="H138" t="s">
        <v>17</v>
      </c>
      <c r="I138" t="s">
        <v>26</v>
      </c>
      <c r="J138" s="2">
        <f>Ventas[[#This Row],[Cantidad]]*Ventas[[#This Row],[Precio_Unitario]]</f>
        <v>46300</v>
      </c>
      <c r="K138" s="2">
        <f>Ventas[[#This Row],[Cantidad]]*Ventas[[#This Row],[Costo_Unitario]]</f>
        <v>26400</v>
      </c>
      <c r="L138" s="2">
        <f>Ventas[[#This Row],[Ventas_Totales]]-Ventas[[#This Row],[Costo_Total]]</f>
        <v>19900</v>
      </c>
    </row>
    <row r="139" spans="1:12">
      <c r="A139" t="s">
        <v>169</v>
      </c>
      <c r="B139" s="1">
        <v>45767</v>
      </c>
      <c r="C139" t="s">
        <v>10</v>
      </c>
      <c r="D139" t="s">
        <v>11</v>
      </c>
      <c r="E139">
        <v>3</v>
      </c>
      <c r="F139" s="2">
        <v>20900</v>
      </c>
      <c r="G139" s="2">
        <v>9900</v>
      </c>
      <c r="H139" t="s">
        <v>22</v>
      </c>
      <c r="I139" t="s">
        <v>64</v>
      </c>
      <c r="J139" s="2">
        <f>Ventas[[#This Row],[Cantidad]]*Ventas[[#This Row],[Precio_Unitario]]</f>
        <v>62700</v>
      </c>
      <c r="K139" s="2">
        <f>Ventas[[#This Row],[Cantidad]]*Ventas[[#This Row],[Costo_Unitario]]</f>
        <v>29700</v>
      </c>
      <c r="L139" s="2">
        <f>Ventas[[#This Row],[Ventas_Totales]]-Ventas[[#This Row],[Costo_Total]]</f>
        <v>33000</v>
      </c>
    </row>
    <row r="140" spans="1:12">
      <c r="A140" t="s">
        <v>170</v>
      </c>
      <c r="B140" s="1">
        <v>45767</v>
      </c>
      <c r="C140" t="s">
        <v>39</v>
      </c>
      <c r="D140" t="s">
        <v>11</v>
      </c>
      <c r="E140">
        <v>1</v>
      </c>
      <c r="F140" s="2">
        <v>36600</v>
      </c>
      <c r="G140" s="2">
        <v>18500</v>
      </c>
      <c r="H140" t="s">
        <v>12</v>
      </c>
      <c r="I140" t="s">
        <v>30</v>
      </c>
      <c r="J140" s="2">
        <f>Ventas[[#This Row],[Cantidad]]*Ventas[[#This Row],[Precio_Unitario]]</f>
        <v>36600</v>
      </c>
      <c r="K140" s="2">
        <f>Ventas[[#This Row],[Cantidad]]*Ventas[[#This Row],[Costo_Unitario]]</f>
        <v>18500</v>
      </c>
      <c r="L140" s="2">
        <f>Ventas[[#This Row],[Ventas_Totales]]-Ventas[[#This Row],[Costo_Total]]</f>
        <v>18100</v>
      </c>
    </row>
    <row r="141" spans="1:12">
      <c r="A141" t="s">
        <v>171</v>
      </c>
      <c r="B141" s="1">
        <v>45767</v>
      </c>
      <c r="C141" t="s">
        <v>21</v>
      </c>
      <c r="D141" t="s">
        <v>11</v>
      </c>
      <c r="E141">
        <v>6</v>
      </c>
      <c r="F141" s="2">
        <v>45800</v>
      </c>
      <c r="G141" s="2">
        <v>22600</v>
      </c>
      <c r="H141" t="s">
        <v>22</v>
      </c>
      <c r="I141" t="s">
        <v>13</v>
      </c>
      <c r="J141" s="2">
        <f>Ventas[[#This Row],[Cantidad]]*Ventas[[#This Row],[Precio_Unitario]]</f>
        <v>274800</v>
      </c>
      <c r="K141" s="2">
        <f>Ventas[[#This Row],[Cantidad]]*Ventas[[#This Row],[Costo_Unitario]]</f>
        <v>135600</v>
      </c>
      <c r="L141" s="2">
        <f>Ventas[[#This Row],[Ventas_Totales]]-Ventas[[#This Row],[Costo_Total]]</f>
        <v>139200</v>
      </c>
    </row>
    <row r="142" spans="1:12">
      <c r="A142" t="s">
        <v>172</v>
      </c>
      <c r="B142" s="1">
        <v>45768</v>
      </c>
      <c r="C142" t="s">
        <v>10</v>
      </c>
      <c r="D142" t="s">
        <v>11</v>
      </c>
      <c r="E142">
        <v>1</v>
      </c>
      <c r="F142" s="2">
        <v>21200</v>
      </c>
      <c r="G142" s="2">
        <v>9700</v>
      </c>
      <c r="H142" t="s">
        <v>25</v>
      </c>
      <c r="I142" t="s">
        <v>13</v>
      </c>
      <c r="J142" s="2">
        <f>Ventas[[#This Row],[Cantidad]]*Ventas[[#This Row],[Precio_Unitario]]</f>
        <v>21200</v>
      </c>
      <c r="K142" s="2">
        <f>Ventas[[#This Row],[Cantidad]]*Ventas[[#This Row],[Costo_Unitario]]</f>
        <v>9700</v>
      </c>
      <c r="L142" s="2">
        <f>Ventas[[#This Row],[Ventas_Totales]]-Ventas[[#This Row],[Costo_Total]]</f>
        <v>11500</v>
      </c>
    </row>
    <row r="143" spans="1:12">
      <c r="A143" t="s">
        <v>173</v>
      </c>
      <c r="B143" s="1">
        <v>45768</v>
      </c>
      <c r="C143" t="s">
        <v>39</v>
      </c>
      <c r="D143" t="s">
        <v>11</v>
      </c>
      <c r="E143">
        <v>1</v>
      </c>
      <c r="F143" s="2">
        <v>37700</v>
      </c>
      <c r="G143" s="2">
        <v>18300</v>
      </c>
      <c r="H143" t="s">
        <v>17</v>
      </c>
      <c r="I143" t="s">
        <v>13</v>
      </c>
      <c r="J143" s="2">
        <f>Ventas[[#This Row],[Cantidad]]*Ventas[[#This Row],[Precio_Unitario]]</f>
        <v>37700</v>
      </c>
      <c r="K143" s="2">
        <f>Ventas[[#This Row],[Cantidad]]*Ventas[[#This Row],[Costo_Unitario]]</f>
        <v>18300</v>
      </c>
      <c r="L143" s="2">
        <f>Ventas[[#This Row],[Ventas_Totales]]-Ventas[[#This Row],[Costo_Total]]</f>
        <v>19400</v>
      </c>
    </row>
    <row r="144" spans="1:12">
      <c r="A144" t="s">
        <v>174</v>
      </c>
      <c r="B144" s="1">
        <v>45769</v>
      </c>
      <c r="C144" t="s">
        <v>15</v>
      </c>
      <c r="D144" t="s">
        <v>16</v>
      </c>
      <c r="E144">
        <v>2</v>
      </c>
      <c r="F144" s="2">
        <v>320400</v>
      </c>
      <c r="G144" s="2">
        <v>227200</v>
      </c>
      <c r="H144" t="s">
        <v>17</v>
      </c>
      <c r="I144" t="s">
        <v>64</v>
      </c>
      <c r="J144" s="2">
        <f>Ventas[[#This Row],[Cantidad]]*Ventas[[#This Row],[Precio_Unitario]]</f>
        <v>640800</v>
      </c>
      <c r="K144" s="2">
        <f>Ventas[[#This Row],[Cantidad]]*Ventas[[#This Row],[Costo_Unitario]]</f>
        <v>454400</v>
      </c>
      <c r="L144" s="2">
        <f>Ventas[[#This Row],[Ventas_Totales]]-Ventas[[#This Row],[Costo_Total]]</f>
        <v>186400</v>
      </c>
    </row>
    <row r="145" spans="1:12">
      <c r="A145" t="s">
        <v>175</v>
      </c>
      <c r="B145" s="1">
        <v>45769</v>
      </c>
      <c r="C145" t="s">
        <v>66</v>
      </c>
      <c r="D145" t="s">
        <v>34</v>
      </c>
      <c r="E145">
        <v>1</v>
      </c>
      <c r="F145" s="2">
        <v>26200</v>
      </c>
      <c r="G145" s="2">
        <v>14400</v>
      </c>
      <c r="H145" t="s">
        <v>19</v>
      </c>
      <c r="I145" t="s">
        <v>26</v>
      </c>
      <c r="J145" s="2">
        <f>Ventas[[#This Row],[Cantidad]]*Ventas[[#This Row],[Precio_Unitario]]</f>
        <v>26200</v>
      </c>
      <c r="K145" s="2">
        <f>Ventas[[#This Row],[Cantidad]]*Ventas[[#This Row],[Costo_Unitario]]</f>
        <v>14400</v>
      </c>
      <c r="L145" s="2">
        <f>Ventas[[#This Row],[Ventas_Totales]]-Ventas[[#This Row],[Costo_Total]]</f>
        <v>11800</v>
      </c>
    </row>
    <row r="146" spans="1:12">
      <c r="A146" t="s">
        <v>176</v>
      </c>
      <c r="B146" s="1">
        <v>45769</v>
      </c>
      <c r="C146" t="s">
        <v>10</v>
      </c>
      <c r="D146" t="s">
        <v>11</v>
      </c>
      <c r="E146">
        <v>2</v>
      </c>
      <c r="F146" s="2">
        <v>22100</v>
      </c>
      <c r="G146" s="2">
        <v>9700</v>
      </c>
      <c r="H146" t="s">
        <v>22</v>
      </c>
      <c r="I146" t="s">
        <v>13</v>
      </c>
      <c r="J146" s="2">
        <f>Ventas[[#This Row],[Cantidad]]*Ventas[[#This Row],[Precio_Unitario]]</f>
        <v>44200</v>
      </c>
      <c r="K146" s="2">
        <f>Ventas[[#This Row],[Cantidad]]*Ventas[[#This Row],[Costo_Unitario]]</f>
        <v>19400</v>
      </c>
      <c r="L146" s="2">
        <f>Ventas[[#This Row],[Ventas_Totales]]-Ventas[[#This Row],[Costo_Total]]</f>
        <v>24800</v>
      </c>
    </row>
    <row r="147" spans="1:12">
      <c r="A147" t="s">
        <v>177</v>
      </c>
      <c r="B147" s="1">
        <v>45770</v>
      </c>
      <c r="C147" t="s">
        <v>24</v>
      </c>
      <c r="D147" t="s">
        <v>11</v>
      </c>
      <c r="E147">
        <v>4</v>
      </c>
      <c r="F147" s="2">
        <v>46200</v>
      </c>
      <c r="G147" s="2">
        <v>25500</v>
      </c>
      <c r="H147" t="s">
        <v>25</v>
      </c>
      <c r="I147" t="s">
        <v>26</v>
      </c>
      <c r="J147" s="2">
        <f>Ventas[[#This Row],[Cantidad]]*Ventas[[#This Row],[Precio_Unitario]]</f>
        <v>184800</v>
      </c>
      <c r="K147" s="2">
        <f>Ventas[[#This Row],[Cantidad]]*Ventas[[#This Row],[Costo_Unitario]]</f>
        <v>102000</v>
      </c>
      <c r="L147" s="2">
        <f>Ventas[[#This Row],[Ventas_Totales]]-Ventas[[#This Row],[Costo_Total]]</f>
        <v>82800</v>
      </c>
    </row>
    <row r="148" spans="1:12">
      <c r="A148" t="s">
        <v>178</v>
      </c>
      <c r="B148" s="1">
        <v>45771</v>
      </c>
      <c r="C148" t="s">
        <v>47</v>
      </c>
      <c r="D148" t="s">
        <v>16</v>
      </c>
      <c r="E148">
        <v>3</v>
      </c>
      <c r="F148" s="2">
        <v>695400</v>
      </c>
      <c r="G148" s="2">
        <v>462600</v>
      </c>
      <c r="H148" t="s">
        <v>19</v>
      </c>
      <c r="I148" t="s">
        <v>13</v>
      </c>
      <c r="J148" s="2">
        <f>Ventas[[#This Row],[Cantidad]]*Ventas[[#This Row],[Precio_Unitario]]</f>
        <v>2086200</v>
      </c>
      <c r="K148" s="2">
        <f>Ventas[[#This Row],[Cantidad]]*Ventas[[#This Row],[Costo_Unitario]]</f>
        <v>1387800</v>
      </c>
      <c r="L148" s="2">
        <f>Ventas[[#This Row],[Ventas_Totales]]-Ventas[[#This Row],[Costo_Total]]</f>
        <v>698400</v>
      </c>
    </row>
    <row r="149" spans="1:12">
      <c r="A149" t="s">
        <v>179</v>
      </c>
      <c r="B149" s="1">
        <v>45772</v>
      </c>
      <c r="C149" t="s">
        <v>33</v>
      </c>
      <c r="D149" t="s">
        <v>34</v>
      </c>
      <c r="E149">
        <v>7</v>
      </c>
      <c r="F149" s="2">
        <v>180100</v>
      </c>
      <c r="G149" s="2">
        <v>114100</v>
      </c>
      <c r="H149" t="s">
        <v>25</v>
      </c>
      <c r="I149" t="s">
        <v>13</v>
      </c>
      <c r="J149" s="2">
        <f>Ventas[[#This Row],[Cantidad]]*Ventas[[#This Row],[Precio_Unitario]]</f>
        <v>1260700</v>
      </c>
      <c r="K149" s="2">
        <f>Ventas[[#This Row],[Cantidad]]*Ventas[[#This Row],[Costo_Unitario]]</f>
        <v>798700</v>
      </c>
      <c r="L149" s="2">
        <f>Ventas[[#This Row],[Ventas_Totales]]-Ventas[[#This Row],[Costo_Total]]</f>
        <v>462000</v>
      </c>
    </row>
    <row r="150" spans="1:12">
      <c r="A150" t="s">
        <v>180</v>
      </c>
      <c r="B150" s="1">
        <v>45772</v>
      </c>
      <c r="C150" t="s">
        <v>39</v>
      </c>
      <c r="D150" t="s">
        <v>11</v>
      </c>
      <c r="E150">
        <v>6</v>
      </c>
      <c r="F150" s="2">
        <v>35200</v>
      </c>
      <c r="G150" s="2">
        <v>18000</v>
      </c>
      <c r="H150" t="s">
        <v>19</v>
      </c>
      <c r="I150" t="s">
        <v>26</v>
      </c>
      <c r="J150" s="2">
        <f>Ventas[[#This Row],[Cantidad]]*Ventas[[#This Row],[Precio_Unitario]]</f>
        <v>211200</v>
      </c>
      <c r="K150" s="2">
        <f>Ventas[[#This Row],[Cantidad]]*Ventas[[#This Row],[Costo_Unitario]]</f>
        <v>108000</v>
      </c>
      <c r="L150" s="2">
        <f>Ventas[[#This Row],[Ventas_Totales]]-Ventas[[#This Row],[Costo_Total]]</f>
        <v>103200</v>
      </c>
    </row>
    <row r="151" spans="1:12">
      <c r="A151" t="s">
        <v>181</v>
      </c>
      <c r="B151" s="1">
        <v>45772</v>
      </c>
      <c r="C151" t="s">
        <v>15</v>
      </c>
      <c r="D151" t="s">
        <v>16</v>
      </c>
      <c r="E151">
        <v>2</v>
      </c>
      <c r="F151" s="2">
        <v>310200</v>
      </c>
      <c r="G151" s="2">
        <v>222200</v>
      </c>
      <c r="H151" t="s">
        <v>22</v>
      </c>
      <c r="I151" t="s">
        <v>30</v>
      </c>
      <c r="J151" s="2">
        <f>Ventas[[#This Row],[Cantidad]]*Ventas[[#This Row],[Precio_Unitario]]</f>
        <v>620400</v>
      </c>
      <c r="K151" s="2">
        <f>Ventas[[#This Row],[Cantidad]]*Ventas[[#This Row],[Costo_Unitario]]</f>
        <v>444400</v>
      </c>
      <c r="L151" s="2">
        <f>Ventas[[#This Row],[Ventas_Totales]]-Ventas[[#This Row],[Costo_Total]]</f>
        <v>176000</v>
      </c>
    </row>
    <row r="152" spans="1:12">
      <c r="A152" t="s">
        <v>182</v>
      </c>
      <c r="B152" s="1">
        <v>45773</v>
      </c>
      <c r="C152" t="s">
        <v>47</v>
      </c>
      <c r="D152" t="s">
        <v>16</v>
      </c>
      <c r="E152">
        <v>2</v>
      </c>
      <c r="F152" s="2">
        <v>613300</v>
      </c>
      <c r="G152" s="2">
        <v>481500</v>
      </c>
      <c r="H152" t="s">
        <v>12</v>
      </c>
      <c r="I152" t="s">
        <v>13</v>
      </c>
      <c r="J152" s="2">
        <f>Ventas[[#This Row],[Cantidad]]*Ventas[[#This Row],[Precio_Unitario]]</f>
        <v>1226600</v>
      </c>
      <c r="K152" s="2">
        <f>Ventas[[#This Row],[Cantidad]]*Ventas[[#This Row],[Costo_Unitario]]</f>
        <v>963000</v>
      </c>
      <c r="L152" s="2">
        <f>Ventas[[#This Row],[Ventas_Totales]]-Ventas[[#This Row],[Costo_Total]]</f>
        <v>263600</v>
      </c>
    </row>
    <row r="153" spans="1:12">
      <c r="A153" t="s">
        <v>183</v>
      </c>
      <c r="B153" s="1">
        <v>45774</v>
      </c>
      <c r="C153" t="s">
        <v>15</v>
      </c>
      <c r="D153" t="s">
        <v>16</v>
      </c>
      <c r="E153">
        <v>2</v>
      </c>
      <c r="F153" s="2">
        <v>333200</v>
      </c>
      <c r="G153" s="2">
        <v>230800</v>
      </c>
      <c r="H153" t="s">
        <v>17</v>
      </c>
      <c r="I153" t="s">
        <v>13</v>
      </c>
      <c r="J153" s="2">
        <f>Ventas[[#This Row],[Cantidad]]*Ventas[[#This Row],[Precio_Unitario]]</f>
        <v>666400</v>
      </c>
      <c r="K153" s="2">
        <f>Ventas[[#This Row],[Cantidad]]*Ventas[[#This Row],[Costo_Unitario]]</f>
        <v>461600</v>
      </c>
      <c r="L153" s="2">
        <f>Ventas[[#This Row],[Ventas_Totales]]-Ventas[[#This Row],[Costo_Total]]</f>
        <v>204800</v>
      </c>
    </row>
    <row r="154" spans="1:12">
      <c r="A154" t="s">
        <v>184</v>
      </c>
      <c r="B154" s="1">
        <v>45774</v>
      </c>
      <c r="C154" t="s">
        <v>10</v>
      </c>
      <c r="D154" t="s">
        <v>11</v>
      </c>
      <c r="E154">
        <v>7</v>
      </c>
      <c r="F154" s="2">
        <v>21900</v>
      </c>
      <c r="G154" s="2">
        <v>10000</v>
      </c>
      <c r="H154" t="s">
        <v>19</v>
      </c>
      <c r="I154" t="s">
        <v>30</v>
      </c>
      <c r="J154" s="2">
        <f>Ventas[[#This Row],[Cantidad]]*Ventas[[#This Row],[Precio_Unitario]]</f>
        <v>153300</v>
      </c>
      <c r="K154" s="2">
        <f>Ventas[[#This Row],[Cantidad]]*Ventas[[#This Row],[Costo_Unitario]]</f>
        <v>70000</v>
      </c>
      <c r="L154" s="2">
        <f>Ventas[[#This Row],[Ventas_Totales]]-Ventas[[#This Row],[Costo_Total]]</f>
        <v>83300</v>
      </c>
    </row>
    <row r="155" spans="1:12">
      <c r="A155" t="s">
        <v>185</v>
      </c>
      <c r="B155" s="1">
        <v>45775</v>
      </c>
      <c r="C155" t="s">
        <v>24</v>
      </c>
      <c r="D155" t="s">
        <v>11</v>
      </c>
      <c r="E155">
        <v>2</v>
      </c>
      <c r="F155" s="2">
        <v>50100</v>
      </c>
      <c r="G155" s="2">
        <v>25000</v>
      </c>
      <c r="H155" t="s">
        <v>17</v>
      </c>
      <c r="I155" t="s">
        <v>13</v>
      </c>
      <c r="J155" s="2">
        <f>Ventas[[#This Row],[Cantidad]]*Ventas[[#This Row],[Precio_Unitario]]</f>
        <v>100200</v>
      </c>
      <c r="K155" s="2">
        <f>Ventas[[#This Row],[Cantidad]]*Ventas[[#This Row],[Costo_Unitario]]</f>
        <v>50000</v>
      </c>
      <c r="L155" s="2">
        <f>Ventas[[#This Row],[Ventas_Totales]]-Ventas[[#This Row],[Costo_Total]]</f>
        <v>50200</v>
      </c>
    </row>
    <row r="156" spans="1:12">
      <c r="A156" t="s">
        <v>186</v>
      </c>
      <c r="B156" s="1">
        <v>45776</v>
      </c>
      <c r="C156" t="s">
        <v>24</v>
      </c>
      <c r="D156" t="s">
        <v>11</v>
      </c>
      <c r="E156">
        <v>3</v>
      </c>
      <c r="F156" s="2">
        <v>49600</v>
      </c>
      <c r="G156" s="2">
        <v>26900</v>
      </c>
      <c r="H156" t="s">
        <v>19</v>
      </c>
      <c r="I156" t="s">
        <v>26</v>
      </c>
      <c r="J156" s="2">
        <f>Ventas[[#This Row],[Cantidad]]*Ventas[[#This Row],[Precio_Unitario]]</f>
        <v>148800</v>
      </c>
      <c r="K156" s="2">
        <f>Ventas[[#This Row],[Cantidad]]*Ventas[[#This Row],[Costo_Unitario]]</f>
        <v>80700</v>
      </c>
      <c r="L156" s="2">
        <f>Ventas[[#This Row],[Ventas_Totales]]-Ventas[[#This Row],[Costo_Total]]</f>
        <v>68100</v>
      </c>
    </row>
    <row r="157" spans="1:12">
      <c r="A157" t="s">
        <v>187</v>
      </c>
      <c r="B157" s="1">
        <v>45776</v>
      </c>
      <c r="C157" t="s">
        <v>10</v>
      </c>
      <c r="D157" t="s">
        <v>11</v>
      </c>
      <c r="E157">
        <v>6</v>
      </c>
      <c r="F157" s="2">
        <v>21000</v>
      </c>
      <c r="G157" s="2">
        <v>9800</v>
      </c>
      <c r="H157" t="s">
        <v>12</v>
      </c>
      <c r="I157" t="s">
        <v>13</v>
      </c>
      <c r="J157" s="2">
        <f>Ventas[[#This Row],[Cantidad]]*Ventas[[#This Row],[Precio_Unitario]]</f>
        <v>126000</v>
      </c>
      <c r="K157" s="2">
        <f>Ventas[[#This Row],[Cantidad]]*Ventas[[#This Row],[Costo_Unitario]]</f>
        <v>58800</v>
      </c>
      <c r="L157" s="2">
        <f>Ventas[[#This Row],[Ventas_Totales]]-Ventas[[#This Row],[Costo_Total]]</f>
        <v>67200</v>
      </c>
    </row>
    <row r="158" spans="1:12">
      <c r="A158" t="s">
        <v>188</v>
      </c>
      <c r="B158" s="1">
        <v>45777</v>
      </c>
      <c r="C158" t="s">
        <v>39</v>
      </c>
      <c r="D158" t="s">
        <v>11</v>
      </c>
      <c r="E158">
        <v>5</v>
      </c>
      <c r="F158" s="2">
        <v>36000</v>
      </c>
      <c r="G158" s="2">
        <v>17600</v>
      </c>
      <c r="H158" t="s">
        <v>12</v>
      </c>
      <c r="I158" t="s">
        <v>26</v>
      </c>
      <c r="J158" s="2">
        <f>Ventas[[#This Row],[Cantidad]]*Ventas[[#This Row],[Precio_Unitario]]</f>
        <v>180000</v>
      </c>
      <c r="K158" s="2">
        <f>Ventas[[#This Row],[Cantidad]]*Ventas[[#This Row],[Costo_Unitario]]</f>
        <v>88000</v>
      </c>
      <c r="L158" s="2">
        <f>Ventas[[#This Row],[Ventas_Totales]]-Ventas[[#This Row],[Costo_Total]]</f>
        <v>92000</v>
      </c>
    </row>
    <row r="159" spans="1:12">
      <c r="A159" t="s">
        <v>189</v>
      </c>
      <c r="B159" s="1">
        <v>45778</v>
      </c>
      <c r="C159" t="s">
        <v>33</v>
      </c>
      <c r="D159" t="s">
        <v>34</v>
      </c>
      <c r="E159">
        <v>1</v>
      </c>
      <c r="F159" s="2">
        <v>166300</v>
      </c>
      <c r="G159" s="2">
        <v>115900</v>
      </c>
      <c r="H159" t="s">
        <v>25</v>
      </c>
      <c r="I159" t="s">
        <v>64</v>
      </c>
      <c r="J159" s="2">
        <f>Ventas[[#This Row],[Cantidad]]*Ventas[[#This Row],[Precio_Unitario]]</f>
        <v>166300</v>
      </c>
      <c r="K159" s="2">
        <f>Ventas[[#This Row],[Cantidad]]*Ventas[[#This Row],[Costo_Unitario]]</f>
        <v>115900</v>
      </c>
      <c r="L159" s="2">
        <f>Ventas[[#This Row],[Ventas_Totales]]-Ventas[[#This Row],[Costo_Total]]</f>
        <v>50400</v>
      </c>
    </row>
    <row r="160" spans="1:12">
      <c r="A160" t="s">
        <v>190</v>
      </c>
      <c r="B160" s="1">
        <v>45779</v>
      </c>
      <c r="C160" t="s">
        <v>37</v>
      </c>
      <c r="D160" t="s">
        <v>34</v>
      </c>
      <c r="E160">
        <v>1</v>
      </c>
      <c r="F160" s="2">
        <v>243300</v>
      </c>
      <c r="G160" s="2">
        <v>171100</v>
      </c>
      <c r="H160" t="s">
        <v>17</v>
      </c>
      <c r="I160" t="s">
        <v>13</v>
      </c>
      <c r="J160" s="2">
        <f>Ventas[[#This Row],[Cantidad]]*Ventas[[#This Row],[Precio_Unitario]]</f>
        <v>243300</v>
      </c>
      <c r="K160" s="2">
        <f>Ventas[[#This Row],[Cantidad]]*Ventas[[#This Row],[Costo_Unitario]]</f>
        <v>171100</v>
      </c>
      <c r="L160" s="2">
        <f>Ventas[[#This Row],[Ventas_Totales]]-Ventas[[#This Row],[Costo_Total]]</f>
        <v>72200</v>
      </c>
    </row>
    <row r="161" spans="1:12">
      <c r="A161" t="s">
        <v>191</v>
      </c>
      <c r="B161" s="1">
        <v>45779</v>
      </c>
      <c r="C161" t="s">
        <v>37</v>
      </c>
      <c r="D161" t="s">
        <v>34</v>
      </c>
      <c r="E161">
        <v>5</v>
      </c>
      <c r="F161" s="2">
        <v>260700</v>
      </c>
      <c r="G161" s="2">
        <v>170500</v>
      </c>
      <c r="H161" t="s">
        <v>22</v>
      </c>
      <c r="I161" t="s">
        <v>26</v>
      </c>
      <c r="J161" s="2">
        <f>Ventas[[#This Row],[Cantidad]]*Ventas[[#This Row],[Precio_Unitario]]</f>
        <v>1303500</v>
      </c>
      <c r="K161" s="2">
        <f>Ventas[[#This Row],[Cantidad]]*Ventas[[#This Row],[Costo_Unitario]]</f>
        <v>852500</v>
      </c>
      <c r="L161" s="2">
        <f>Ventas[[#This Row],[Ventas_Totales]]-Ventas[[#This Row],[Costo_Total]]</f>
        <v>451000</v>
      </c>
    </row>
    <row r="162" spans="1:12">
      <c r="A162" t="s">
        <v>192</v>
      </c>
      <c r="B162" s="1">
        <v>45779</v>
      </c>
      <c r="C162" t="s">
        <v>47</v>
      </c>
      <c r="D162" t="s">
        <v>16</v>
      </c>
      <c r="E162">
        <v>7</v>
      </c>
      <c r="F162" s="2">
        <v>620100</v>
      </c>
      <c r="G162" s="2">
        <v>483200</v>
      </c>
      <c r="H162" t="s">
        <v>17</v>
      </c>
      <c r="I162" t="s">
        <v>64</v>
      </c>
      <c r="J162" s="2">
        <f>Ventas[[#This Row],[Cantidad]]*Ventas[[#This Row],[Precio_Unitario]]</f>
        <v>4340700</v>
      </c>
      <c r="K162" s="2">
        <f>Ventas[[#This Row],[Cantidad]]*Ventas[[#This Row],[Costo_Unitario]]</f>
        <v>3382400</v>
      </c>
      <c r="L162" s="2">
        <f>Ventas[[#This Row],[Ventas_Totales]]-Ventas[[#This Row],[Costo_Total]]</f>
        <v>958300</v>
      </c>
    </row>
    <row r="163" spans="1:12">
      <c r="A163" t="s">
        <v>193</v>
      </c>
      <c r="B163" s="1">
        <v>45781</v>
      </c>
      <c r="C163" t="s">
        <v>10</v>
      </c>
      <c r="D163" t="s">
        <v>11</v>
      </c>
      <c r="E163">
        <v>1</v>
      </c>
      <c r="F163" s="2">
        <v>22300</v>
      </c>
      <c r="G163" s="2">
        <v>9900</v>
      </c>
      <c r="H163" t="s">
        <v>19</v>
      </c>
      <c r="I163" t="s">
        <v>64</v>
      </c>
      <c r="J163" s="2">
        <f>Ventas[[#This Row],[Cantidad]]*Ventas[[#This Row],[Precio_Unitario]]</f>
        <v>22300</v>
      </c>
      <c r="K163" s="2">
        <f>Ventas[[#This Row],[Cantidad]]*Ventas[[#This Row],[Costo_Unitario]]</f>
        <v>9900</v>
      </c>
      <c r="L163" s="2">
        <f>Ventas[[#This Row],[Ventas_Totales]]-Ventas[[#This Row],[Costo_Total]]</f>
        <v>12400</v>
      </c>
    </row>
    <row r="164" spans="1:12">
      <c r="A164" t="s">
        <v>194</v>
      </c>
      <c r="B164" s="1">
        <v>45781</v>
      </c>
      <c r="C164" t="s">
        <v>55</v>
      </c>
      <c r="D164" t="s">
        <v>16</v>
      </c>
      <c r="E164">
        <v>7</v>
      </c>
      <c r="F164" s="2">
        <v>211800</v>
      </c>
      <c r="G164" s="2">
        <v>153000</v>
      </c>
      <c r="H164" t="s">
        <v>22</v>
      </c>
      <c r="I164" t="s">
        <v>13</v>
      </c>
      <c r="J164" s="2">
        <f>Ventas[[#This Row],[Cantidad]]*Ventas[[#This Row],[Precio_Unitario]]</f>
        <v>1482600</v>
      </c>
      <c r="K164" s="2">
        <f>Ventas[[#This Row],[Cantidad]]*Ventas[[#This Row],[Costo_Unitario]]</f>
        <v>1071000</v>
      </c>
      <c r="L164" s="2">
        <f>Ventas[[#This Row],[Ventas_Totales]]-Ventas[[#This Row],[Costo_Total]]</f>
        <v>411600</v>
      </c>
    </row>
    <row r="165" spans="1:12">
      <c r="A165" t="s">
        <v>195</v>
      </c>
      <c r="B165" s="1">
        <v>45782</v>
      </c>
      <c r="C165" t="s">
        <v>33</v>
      </c>
      <c r="D165" t="s">
        <v>34</v>
      </c>
      <c r="E165">
        <v>7</v>
      </c>
      <c r="F165" s="2">
        <v>175200</v>
      </c>
      <c r="G165" s="2">
        <v>113400</v>
      </c>
      <c r="H165" t="s">
        <v>12</v>
      </c>
      <c r="I165" t="s">
        <v>26</v>
      </c>
      <c r="J165" s="2">
        <f>Ventas[[#This Row],[Cantidad]]*Ventas[[#This Row],[Precio_Unitario]]</f>
        <v>1226400</v>
      </c>
      <c r="K165" s="2">
        <f>Ventas[[#This Row],[Cantidad]]*Ventas[[#This Row],[Costo_Unitario]]</f>
        <v>793800</v>
      </c>
      <c r="L165" s="2">
        <f>Ventas[[#This Row],[Ventas_Totales]]-Ventas[[#This Row],[Costo_Total]]</f>
        <v>432600</v>
      </c>
    </row>
    <row r="166" spans="1:12">
      <c r="A166" t="s">
        <v>196</v>
      </c>
      <c r="B166" s="1">
        <v>45782</v>
      </c>
      <c r="C166" t="s">
        <v>24</v>
      </c>
      <c r="D166" t="s">
        <v>11</v>
      </c>
      <c r="E166">
        <v>2</v>
      </c>
      <c r="F166" s="2">
        <v>52600</v>
      </c>
      <c r="G166" s="2">
        <v>25500</v>
      </c>
      <c r="H166" t="s">
        <v>25</v>
      </c>
      <c r="I166" t="s">
        <v>72</v>
      </c>
      <c r="J166" s="2">
        <f>Ventas[[#This Row],[Cantidad]]*Ventas[[#This Row],[Precio_Unitario]]</f>
        <v>105200</v>
      </c>
      <c r="K166" s="2">
        <f>Ventas[[#This Row],[Cantidad]]*Ventas[[#This Row],[Costo_Unitario]]</f>
        <v>51000</v>
      </c>
      <c r="L166" s="2">
        <f>Ventas[[#This Row],[Ventas_Totales]]-Ventas[[#This Row],[Costo_Total]]</f>
        <v>54200</v>
      </c>
    </row>
    <row r="167" spans="1:12">
      <c r="A167" t="s">
        <v>197</v>
      </c>
      <c r="B167" s="1">
        <v>45783</v>
      </c>
      <c r="C167" t="s">
        <v>24</v>
      </c>
      <c r="D167" t="s">
        <v>11</v>
      </c>
      <c r="E167">
        <v>2</v>
      </c>
      <c r="F167" s="2">
        <v>47600</v>
      </c>
      <c r="G167" s="2">
        <v>25100</v>
      </c>
      <c r="H167" t="s">
        <v>19</v>
      </c>
      <c r="I167" t="s">
        <v>30</v>
      </c>
      <c r="J167" s="2">
        <f>Ventas[[#This Row],[Cantidad]]*Ventas[[#This Row],[Precio_Unitario]]</f>
        <v>95200</v>
      </c>
      <c r="K167" s="2">
        <f>Ventas[[#This Row],[Cantidad]]*Ventas[[#This Row],[Costo_Unitario]]</f>
        <v>50200</v>
      </c>
      <c r="L167" s="2">
        <f>Ventas[[#This Row],[Ventas_Totales]]-Ventas[[#This Row],[Costo_Total]]</f>
        <v>45000</v>
      </c>
    </row>
    <row r="168" spans="1:12">
      <c r="A168" t="s">
        <v>198</v>
      </c>
      <c r="B168" s="1">
        <v>45783</v>
      </c>
      <c r="C168" t="s">
        <v>10</v>
      </c>
      <c r="D168" t="s">
        <v>11</v>
      </c>
      <c r="E168">
        <v>3</v>
      </c>
      <c r="F168" s="2">
        <v>22900</v>
      </c>
      <c r="G168" s="2">
        <v>9700</v>
      </c>
      <c r="H168" t="s">
        <v>17</v>
      </c>
      <c r="I168" t="s">
        <v>26</v>
      </c>
      <c r="J168" s="2">
        <f>Ventas[[#This Row],[Cantidad]]*Ventas[[#This Row],[Precio_Unitario]]</f>
        <v>68700</v>
      </c>
      <c r="K168" s="2">
        <f>Ventas[[#This Row],[Cantidad]]*Ventas[[#This Row],[Costo_Unitario]]</f>
        <v>29100</v>
      </c>
      <c r="L168" s="2">
        <f>Ventas[[#This Row],[Ventas_Totales]]-Ventas[[#This Row],[Costo_Total]]</f>
        <v>39600</v>
      </c>
    </row>
    <row r="169" spans="1:12">
      <c r="A169" t="s">
        <v>199</v>
      </c>
      <c r="B169" s="1">
        <v>45784</v>
      </c>
      <c r="C169" t="s">
        <v>21</v>
      </c>
      <c r="D169" t="s">
        <v>11</v>
      </c>
      <c r="E169">
        <v>6</v>
      </c>
      <c r="F169" s="2">
        <v>41000</v>
      </c>
      <c r="G169" s="2">
        <v>22700</v>
      </c>
      <c r="H169" t="s">
        <v>22</v>
      </c>
      <c r="I169" t="s">
        <v>13</v>
      </c>
      <c r="J169" s="2">
        <f>Ventas[[#This Row],[Cantidad]]*Ventas[[#This Row],[Precio_Unitario]]</f>
        <v>246000</v>
      </c>
      <c r="K169" s="2">
        <f>Ventas[[#This Row],[Cantidad]]*Ventas[[#This Row],[Costo_Unitario]]</f>
        <v>136200</v>
      </c>
      <c r="L169" s="2">
        <f>Ventas[[#This Row],[Ventas_Totales]]-Ventas[[#This Row],[Costo_Total]]</f>
        <v>109800</v>
      </c>
    </row>
    <row r="170" spans="1:12">
      <c r="A170" t="s">
        <v>200</v>
      </c>
      <c r="B170" s="1">
        <v>45784</v>
      </c>
      <c r="C170" t="s">
        <v>21</v>
      </c>
      <c r="D170" t="s">
        <v>11</v>
      </c>
      <c r="E170">
        <v>2</v>
      </c>
      <c r="F170" s="2">
        <v>39400</v>
      </c>
      <c r="G170" s="2">
        <v>22500</v>
      </c>
      <c r="H170" t="s">
        <v>19</v>
      </c>
      <c r="I170" t="s">
        <v>72</v>
      </c>
      <c r="J170" s="2">
        <f>Ventas[[#This Row],[Cantidad]]*Ventas[[#This Row],[Precio_Unitario]]</f>
        <v>78800</v>
      </c>
      <c r="K170" s="2">
        <f>Ventas[[#This Row],[Cantidad]]*Ventas[[#This Row],[Costo_Unitario]]</f>
        <v>45000</v>
      </c>
      <c r="L170" s="2">
        <f>Ventas[[#This Row],[Ventas_Totales]]-Ventas[[#This Row],[Costo_Total]]</f>
        <v>33800</v>
      </c>
    </row>
    <row r="171" spans="1:12">
      <c r="A171" t="s">
        <v>201</v>
      </c>
      <c r="B171" s="1">
        <v>45784</v>
      </c>
      <c r="C171" t="s">
        <v>15</v>
      </c>
      <c r="D171" t="s">
        <v>16</v>
      </c>
      <c r="E171">
        <v>3</v>
      </c>
      <c r="F171" s="2">
        <v>323000</v>
      </c>
      <c r="G171" s="2">
        <v>229400</v>
      </c>
      <c r="H171" t="s">
        <v>25</v>
      </c>
      <c r="I171" t="s">
        <v>13</v>
      </c>
      <c r="J171" s="2">
        <f>Ventas[[#This Row],[Cantidad]]*Ventas[[#This Row],[Precio_Unitario]]</f>
        <v>969000</v>
      </c>
      <c r="K171" s="2">
        <f>Ventas[[#This Row],[Cantidad]]*Ventas[[#This Row],[Costo_Unitario]]</f>
        <v>688200</v>
      </c>
      <c r="L171" s="2">
        <f>Ventas[[#This Row],[Ventas_Totales]]-Ventas[[#This Row],[Costo_Total]]</f>
        <v>280800</v>
      </c>
    </row>
    <row r="172" spans="1:12">
      <c r="A172" t="s">
        <v>202</v>
      </c>
      <c r="B172" s="1">
        <v>45785</v>
      </c>
      <c r="C172" t="s">
        <v>10</v>
      </c>
      <c r="D172" t="s">
        <v>11</v>
      </c>
      <c r="E172">
        <v>5</v>
      </c>
      <c r="F172" s="2">
        <v>21500</v>
      </c>
      <c r="G172" s="2">
        <v>9800</v>
      </c>
      <c r="H172" t="s">
        <v>12</v>
      </c>
      <c r="I172" t="s">
        <v>30</v>
      </c>
      <c r="J172" s="2">
        <f>Ventas[[#This Row],[Cantidad]]*Ventas[[#This Row],[Precio_Unitario]]</f>
        <v>107500</v>
      </c>
      <c r="K172" s="2">
        <f>Ventas[[#This Row],[Cantidad]]*Ventas[[#This Row],[Costo_Unitario]]</f>
        <v>49000</v>
      </c>
      <c r="L172" s="2">
        <f>Ventas[[#This Row],[Ventas_Totales]]-Ventas[[#This Row],[Costo_Total]]</f>
        <v>58500</v>
      </c>
    </row>
    <row r="173" spans="1:12">
      <c r="A173" t="s">
        <v>203</v>
      </c>
      <c r="B173" s="1">
        <v>45786</v>
      </c>
      <c r="C173" t="s">
        <v>47</v>
      </c>
      <c r="D173" t="s">
        <v>16</v>
      </c>
      <c r="E173">
        <v>6</v>
      </c>
      <c r="F173" s="2">
        <v>658800</v>
      </c>
      <c r="G173" s="2">
        <v>465000</v>
      </c>
      <c r="H173" t="s">
        <v>19</v>
      </c>
      <c r="I173" t="s">
        <v>64</v>
      </c>
      <c r="J173" s="2">
        <f>Ventas[[#This Row],[Cantidad]]*Ventas[[#This Row],[Precio_Unitario]]</f>
        <v>3952800</v>
      </c>
      <c r="K173" s="2">
        <f>Ventas[[#This Row],[Cantidad]]*Ventas[[#This Row],[Costo_Unitario]]</f>
        <v>2790000</v>
      </c>
      <c r="L173" s="2">
        <f>Ventas[[#This Row],[Ventas_Totales]]-Ventas[[#This Row],[Costo_Total]]</f>
        <v>1162800</v>
      </c>
    </row>
    <row r="174" spans="1:12">
      <c r="A174" t="s">
        <v>204</v>
      </c>
      <c r="B174" s="1">
        <v>45791</v>
      </c>
      <c r="C174" t="s">
        <v>47</v>
      </c>
      <c r="D174" t="s">
        <v>16</v>
      </c>
      <c r="E174">
        <v>4</v>
      </c>
      <c r="F174" s="2">
        <v>686500</v>
      </c>
      <c r="G174" s="2">
        <v>483100</v>
      </c>
      <c r="H174" t="s">
        <v>25</v>
      </c>
      <c r="I174" t="s">
        <v>64</v>
      </c>
      <c r="J174" s="2">
        <f>Ventas[[#This Row],[Cantidad]]*Ventas[[#This Row],[Precio_Unitario]]</f>
        <v>2746000</v>
      </c>
      <c r="K174" s="2">
        <f>Ventas[[#This Row],[Cantidad]]*Ventas[[#This Row],[Costo_Unitario]]</f>
        <v>1932400</v>
      </c>
      <c r="L174" s="2">
        <f>Ventas[[#This Row],[Ventas_Totales]]-Ventas[[#This Row],[Costo_Total]]</f>
        <v>813600</v>
      </c>
    </row>
    <row r="175" spans="1:12">
      <c r="A175" t="s">
        <v>205</v>
      </c>
      <c r="B175" s="1">
        <v>45791</v>
      </c>
      <c r="C175" t="s">
        <v>21</v>
      </c>
      <c r="D175" t="s">
        <v>11</v>
      </c>
      <c r="E175">
        <v>5</v>
      </c>
      <c r="F175" s="2">
        <v>40500</v>
      </c>
      <c r="G175" s="2">
        <v>22900</v>
      </c>
      <c r="H175" t="s">
        <v>12</v>
      </c>
      <c r="I175" t="s">
        <v>13</v>
      </c>
      <c r="J175" s="2">
        <f>Ventas[[#This Row],[Cantidad]]*Ventas[[#This Row],[Precio_Unitario]]</f>
        <v>202500</v>
      </c>
      <c r="K175" s="2">
        <f>Ventas[[#This Row],[Cantidad]]*Ventas[[#This Row],[Costo_Unitario]]</f>
        <v>114500</v>
      </c>
      <c r="L175" s="2">
        <f>Ventas[[#This Row],[Ventas_Totales]]-Ventas[[#This Row],[Costo_Total]]</f>
        <v>88000</v>
      </c>
    </row>
    <row r="176" spans="1:12">
      <c r="A176" t="s">
        <v>206</v>
      </c>
      <c r="B176" s="1">
        <v>45791</v>
      </c>
      <c r="C176" t="s">
        <v>10</v>
      </c>
      <c r="D176" t="s">
        <v>11</v>
      </c>
      <c r="E176">
        <v>6</v>
      </c>
      <c r="F176" s="2">
        <v>22600</v>
      </c>
      <c r="G176" s="2">
        <v>10100</v>
      </c>
      <c r="H176" t="s">
        <v>25</v>
      </c>
      <c r="I176" t="s">
        <v>30</v>
      </c>
      <c r="J176" s="2">
        <f>Ventas[[#This Row],[Cantidad]]*Ventas[[#This Row],[Precio_Unitario]]</f>
        <v>135600</v>
      </c>
      <c r="K176" s="2">
        <f>Ventas[[#This Row],[Cantidad]]*Ventas[[#This Row],[Costo_Unitario]]</f>
        <v>60600</v>
      </c>
      <c r="L176" s="2">
        <f>Ventas[[#This Row],[Ventas_Totales]]-Ventas[[#This Row],[Costo_Total]]</f>
        <v>75000</v>
      </c>
    </row>
    <row r="177" spans="1:12">
      <c r="A177" t="s">
        <v>207</v>
      </c>
      <c r="B177" s="1">
        <v>45792</v>
      </c>
      <c r="C177" t="s">
        <v>47</v>
      </c>
      <c r="D177" t="s">
        <v>16</v>
      </c>
      <c r="E177">
        <v>3</v>
      </c>
      <c r="F177" s="2">
        <v>632200</v>
      </c>
      <c r="G177" s="2">
        <v>487700</v>
      </c>
      <c r="H177" t="s">
        <v>25</v>
      </c>
      <c r="I177" t="s">
        <v>13</v>
      </c>
      <c r="J177" s="2">
        <f>Ventas[[#This Row],[Cantidad]]*Ventas[[#This Row],[Precio_Unitario]]</f>
        <v>1896600</v>
      </c>
      <c r="K177" s="2">
        <f>Ventas[[#This Row],[Cantidad]]*Ventas[[#This Row],[Costo_Unitario]]</f>
        <v>1463100</v>
      </c>
      <c r="L177" s="2">
        <f>Ventas[[#This Row],[Ventas_Totales]]-Ventas[[#This Row],[Costo_Total]]</f>
        <v>433500</v>
      </c>
    </row>
    <row r="178" spans="1:12">
      <c r="A178" t="s">
        <v>208</v>
      </c>
      <c r="B178" s="1">
        <v>45793</v>
      </c>
      <c r="C178" t="s">
        <v>47</v>
      </c>
      <c r="D178" t="s">
        <v>16</v>
      </c>
      <c r="E178">
        <v>2</v>
      </c>
      <c r="F178" s="2">
        <v>637300</v>
      </c>
      <c r="G178" s="2">
        <v>488300</v>
      </c>
      <c r="H178" t="s">
        <v>25</v>
      </c>
      <c r="I178" t="s">
        <v>30</v>
      </c>
      <c r="J178" s="2">
        <f>Ventas[[#This Row],[Cantidad]]*Ventas[[#This Row],[Precio_Unitario]]</f>
        <v>1274600</v>
      </c>
      <c r="K178" s="2">
        <f>Ventas[[#This Row],[Cantidad]]*Ventas[[#This Row],[Costo_Unitario]]</f>
        <v>976600</v>
      </c>
      <c r="L178" s="2">
        <f>Ventas[[#This Row],[Ventas_Totales]]-Ventas[[#This Row],[Costo_Total]]</f>
        <v>298000</v>
      </c>
    </row>
    <row r="179" spans="1:12">
      <c r="A179" t="s">
        <v>209</v>
      </c>
      <c r="B179" s="1">
        <v>45793</v>
      </c>
      <c r="C179" t="s">
        <v>39</v>
      </c>
      <c r="D179" t="s">
        <v>11</v>
      </c>
      <c r="E179">
        <v>2</v>
      </c>
      <c r="F179" s="2">
        <v>34900</v>
      </c>
      <c r="G179" s="2">
        <v>18400</v>
      </c>
      <c r="H179" t="s">
        <v>25</v>
      </c>
      <c r="I179" t="s">
        <v>13</v>
      </c>
      <c r="J179" s="2">
        <f>Ventas[[#This Row],[Cantidad]]*Ventas[[#This Row],[Precio_Unitario]]</f>
        <v>69800</v>
      </c>
      <c r="K179" s="2">
        <f>Ventas[[#This Row],[Cantidad]]*Ventas[[#This Row],[Costo_Unitario]]</f>
        <v>36800</v>
      </c>
      <c r="L179" s="2">
        <f>Ventas[[#This Row],[Ventas_Totales]]-Ventas[[#This Row],[Costo_Total]]</f>
        <v>33000</v>
      </c>
    </row>
    <row r="180" spans="1:12">
      <c r="A180" t="s">
        <v>210</v>
      </c>
      <c r="B180" s="1">
        <v>45794</v>
      </c>
      <c r="C180" t="s">
        <v>39</v>
      </c>
      <c r="D180" t="s">
        <v>11</v>
      </c>
      <c r="E180">
        <v>4</v>
      </c>
      <c r="F180" s="2">
        <v>36600</v>
      </c>
      <c r="G180" s="2">
        <v>17600</v>
      </c>
      <c r="H180" t="s">
        <v>22</v>
      </c>
      <c r="I180" t="s">
        <v>26</v>
      </c>
      <c r="J180" s="2">
        <f>Ventas[[#This Row],[Cantidad]]*Ventas[[#This Row],[Precio_Unitario]]</f>
        <v>146400</v>
      </c>
      <c r="K180" s="2">
        <f>Ventas[[#This Row],[Cantidad]]*Ventas[[#This Row],[Costo_Unitario]]</f>
        <v>70400</v>
      </c>
      <c r="L180" s="2">
        <f>Ventas[[#This Row],[Ventas_Totales]]-Ventas[[#This Row],[Costo_Total]]</f>
        <v>76000</v>
      </c>
    </row>
    <row r="181" spans="1:12">
      <c r="A181" t="s">
        <v>211</v>
      </c>
      <c r="B181" s="1">
        <v>45797</v>
      </c>
      <c r="C181" t="s">
        <v>39</v>
      </c>
      <c r="D181" t="s">
        <v>11</v>
      </c>
      <c r="E181">
        <v>6</v>
      </c>
      <c r="F181" s="2">
        <v>37000</v>
      </c>
      <c r="G181" s="2">
        <v>18000</v>
      </c>
      <c r="H181" t="s">
        <v>22</v>
      </c>
      <c r="I181" t="s">
        <v>13</v>
      </c>
      <c r="J181" s="2">
        <f>Ventas[[#This Row],[Cantidad]]*Ventas[[#This Row],[Precio_Unitario]]</f>
        <v>222000</v>
      </c>
      <c r="K181" s="2">
        <f>Ventas[[#This Row],[Cantidad]]*Ventas[[#This Row],[Costo_Unitario]]</f>
        <v>108000</v>
      </c>
      <c r="L181" s="2">
        <f>Ventas[[#This Row],[Ventas_Totales]]-Ventas[[#This Row],[Costo_Total]]</f>
        <v>114000</v>
      </c>
    </row>
    <row r="182" spans="1:12">
      <c r="A182" t="s">
        <v>212</v>
      </c>
      <c r="B182" s="1">
        <v>45798</v>
      </c>
      <c r="C182" t="s">
        <v>37</v>
      </c>
      <c r="D182" t="s">
        <v>34</v>
      </c>
      <c r="E182">
        <v>4</v>
      </c>
      <c r="F182" s="2">
        <v>266500</v>
      </c>
      <c r="G182" s="2">
        <v>172000</v>
      </c>
      <c r="H182" t="s">
        <v>22</v>
      </c>
      <c r="I182" t="s">
        <v>30</v>
      </c>
      <c r="J182" s="2">
        <f>Ventas[[#This Row],[Cantidad]]*Ventas[[#This Row],[Precio_Unitario]]</f>
        <v>1066000</v>
      </c>
      <c r="K182" s="2">
        <f>Ventas[[#This Row],[Cantidad]]*Ventas[[#This Row],[Costo_Unitario]]</f>
        <v>688000</v>
      </c>
      <c r="L182" s="2">
        <f>Ventas[[#This Row],[Ventas_Totales]]-Ventas[[#This Row],[Costo_Total]]</f>
        <v>378000</v>
      </c>
    </row>
    <row r="183" spans="1:12">
      <c r="A183" t="s">
        <v>213</v>
      </c>
      <c r="B183" s="1">
        <v>45798</v>
      </c>
      <c r="C183" t="s">
        <v>10</v>
      </c>
      <c r="D183" t="s">
        <v>11</v>
      </c>
      <c r="E183">
        <v>1</v>
      </c>
      <c r="F183" s="2">
        <v>20800</v>
      </c>
      <c r="G183" s="2">
        <v>9800</v>
      </c>
      <c r="H183" t="s">
        <v>22</v>
      </c>
      <c r="I183" t="s">
        <v>26</v>
      </c>
      <c r="J183" s="2">
        <f>Ventas[[#This Row],[Cantidad]]*Ventas[[#This Row],[Precio_Unitario]]</f>
        <v>20800</v>
      </c>
      <c r="K183" s="2">
        <f>Ventas[[#This Row],[Cantidad]]*Ventas[[#This Row],[Costo_Unitario]]</f>
        <v>9800</v>
      </c>
      <c r="L183" s="2">
        <f>Ventas[[#This Row],[Ventas_Totales]]-Ventas[[#This Row],[Costo_Total]]</f>
        <v>11000</v>
      </c>
    </row>
    <row r="184" spans="1:12">
      <c r="A184" t="s">
        <v>214</v>
      </c>
      <c r="B184" s="1">
        <v>45798</v>
      </c>
      <c r="C184" t="s">
        <v>37</v>
      </c>
      <c r="D184" t="s">
        <v>34</v>
      </c>
      <c r="E184">
        <v>6</v>
      </c>
      <c r="F184" s="2">
        <v>282700</v>
      </c>
      <c r="G184" s="2">
        <v>175000</v>
      </c>
      <c r="H184" t="s">
        <v>19</v>
      </c>
      <c r="I184" t="s">
        <v>64</v>
      </c>
      <c r="J184" s="2">
        <f>Ventas[[#This Row],[Cantidad]]*Ventas[[#This Row],[Precio_Unitario]]</f>
        <v>1696200</v>
      </c>
      <c r="K184" s="2">
        <f>Ventas[[#This Row],[Cantidad]]*Ventas[[#This Row],[Costo_Unitario]]</f>
        <v>1050000</v>
      </c>
      <c r="L184" s="2">
        <f>Ventas[[#This Row],[Ventas_Totales]]-Ventas[[#This Row],[Costo_Total]]</f>
        <v>646200</v>
      </c>
    </row>
    <row r="185" spans="1:12">
      <c r="A185" t="s">
        <v>215</v>
      </c>
      <c r="B185" s="1">
        <v>45799</v>
      </c>
      <c r="C185" t="s">
        <v>10</v>
      </c>
      <c r="D185" t="s">
        <v>11</v>
      </c>
      <c r="E185">
        <v>5</v>
      </c>
      <c r="F185" s="2">
        <v>21100</v>
      </c>
      <c r="G185" s="2">
        <v>10000</v>
      </c>
      <c r="H185" t="s">
        <v>12</v>
      </c>
      <c r="I185" t="s">
        <v>26</v>
      </c>
      <c r="J185" s="2">
        <f>Ventas[[#This Row],[Cantidad]]*Ventas[[#This Row],[Precio_Unitario]]</f>
        <v>105500</v>
      </c>
      <c r="K185" s="2">
        <f>Ventas[[#This Row],[Cantidad]]*Ventas[[#This Row],[Costo_Unitario]]</f>
        <v>50000</v>
      </c>
      <c r="L185" s="2">
        <f>Ventas[[#This Row],[Ventas_Totales]]-Ventas[[#This Row],[Costo_Total]]</f>
        <v>55500</v>
      </c>
    </row>
    <row r="186" spans="1:12">
      <c r="A186" t="s">
        <v>216</v>
      </c>
      <c r="B186" s="1">
        <v>45799</v>
      </c>
      <c r="C186" t="s">
        <v>10</v>
      </c>
      <c r="D186" t="s">
        <v>11</v>
      </c>
      <c r="E186">
        <v>7</v>
      </c>
      <c r="F186" s="2">
        <v>22800</v>
      </c>
      <c r="G186" s="2">
        <v>9900</v>
      </c>
      <c r="H186" t="s">
        <v>22</v>
      </c>
      <c r="I186" t="s">
        <v>30</v>
      </c>
      <c r="J186" s="2">
        <f>Ventas[[#This Row],[Cantidad]]*Ventas[[#This Row],[Precio_Unitario]]</f>
        <v>159600</v>
      </c>
      <c r="K186" s="2">
        <f>Ventas[[#This Row],[Cantidad]]*Ventas[[#This Row],[Costo_Unitario]]</f>
        <v>69300</v>
      </c>
      <c r="L186" s="2">
        <f>Ventas[[#This Row],[Ventas_Totales]]-Ventas[[#This Row],[Costo_Total]]</f>
        <v>90300</v>
      </c>
    </row>
    <row r="187" spans="1:12">
      <c r="A187" t="s">
        <v>217</v>
      </c>
      <c r="B187" s="1">
        <v>45800</v>
      </c>
      <c r="C187" t="s">
        <v>10</v>
      </c>
      <c r="D187" t="s">
        <v>11</v>
      </c>
      <c r="E187">
        <v>2</v>
      </c>
      <c r="F187" s="2">
        <v>21100</v>
      </c>
      <c r="G187" s="2">
        <v>10300</v>
      </c>
      <c r="H187" t="s">
        <v>19</v>
      </c>
      <c r="I187" t="s">
        <v>30</v>
      </c>
      <c r="J187" s="2">
        <f>Ventas[[#This Row],[Cantidad]]*Ventas[[#This Row],[Precio_Unitario]]</f>
        <v>42200</v>
      </c>
      <c r="K187" s="2">
        <f>Ventas[[#This Row],[Cantidad]]*Ventas[[#This Row],[Costo_Unitario]]</f>
        <v>20600</v>
      </c>
      <c r="L187" s="2">
        <f>Ventas[[#This Row],[Ventas_Totales]]-Ventas[[#This Row],[Costo_Total]]</f>
        <v>21600</v>
      </c>
    </row>
    <row r="188" spans="1:12">
      <c r="A188" t="s">
        <v>218</v>
      </c>
      <c r="B188" s="1">
        <v>45801</v>
      </c>
      <c r="C188" t="s">
        <v>10</v>
      </c>
      <c r="D188" t="s">
        <v>11</v>
      </c>
      <c r="E188">
        <v>1</v>
      </c>
      <c r="F188" s="2">
        <v>20600</v>
      </c>
      <c r="G188" s="2">
        <v>10000</v>
      </c>
      <c r="H188" t="s">
        <v>12</v>
      </c>
      <c r="I188" t="s">
        <v>30</v>
      </c>
      <c r="J188" s="2">
        <f>Ventas[[#This Row],[Cantidad]]*Ventas[[#This Row],[Precio_Unitario]]</f>
        <v>20600</v>
      </c>
      <c r="K188" s="2">
        <f>Ventas[[#This Row],[Cantidad]]*Ventas[[#This Row],[Costo_Unitario]]</f>
        <v>10000</v>
      </c>
      <c r="L188" s="2">
        <f>Ventas[[#This Row],[Ventas_Totales]]-Ventas[[#This Row],[Costo_Total]]</f>
        <v>10600</v>
      </c>
    </row>
    <row r="189" spans="1:12">
      <c r="A189" t="s">
        <v>219</v>
      </c>
      <c r="B189" s="1">
        <v>45801</v>
      </c>
      <c r="C189" t="s">
        <v>10</v>
      </c>
      <c r="D189" t="s">
        <v>11</v>
      </c>
      <c r="E189">
        <v>3</v>
      </c>
      <c r="F189" s="2">
        <v>23500</v>
      </c>
      <c r="G189" s="2">
        <v>10200</v>
      </c>
      <c r="H189" t="s">
        <v>12</v>
      </c>
      <c r="I189" t="s">
        <v>64</v>
      </c>
      <c r="J189" s="2">
        <f>Ventas[[#This Row],[Cantidad]]*Ventas[[#This Row],[Precio_Unitario]]</f>
        <v>70500</v>
      </c>
      <c r="K189" s="2">
        <f>Ventas[[#This Row],[Cantidad]]*Ventas[[#This Row],[Costo_Unitario]]</f>
        <v>30600</v>
      </c>
      <c r="L189" s="2">
        <f>Ventas[[#This Row],[Ventas_Totales]]-Ventas[[#This Row],[Costo_Total]]</f>
        <v>39900</v>
      </c>
    </row>
    <row r="190" spans="1:12">
      <c r="A190" t="s">
        <v>220</v>
      </c>
      <c r="B190" s="1">
        <v>45801</v>
      </c>
      <c r="C190" t="s">
        <v>55</v>
      </c>
      <c r="D190" t="s">
        <v>16</v>
      </c>
      <c r="E190">
        <v>1</v>
      </c>
      <c r="F190" s="2">
        <v>209600</v>
      </c>
      <c r="G190" s="2">
        <v>148200</v>
      </c>
      <c r="H190" t="s">
        <v>25</v>
      </c>
      <c r="I190" t="s">
        <v>30</v>
      </c>
      <c r="J190" s="2">
        <f>Ventas[[#This Row],[Cantidad]]*Ventas[[#This Row],[Precio_Unitario]]</f>
        <v>209600</v>
      </c>
      <c r="K190" s="2">
        <f>Ventas[[#This Row],[Cantidad]]*Ventas[[#This Row],[Costo_Unitario]]</f>
        <v>148200</v>
      </c>
      <c r="L190" s="2">
        <f>Ventas[[#This Row],[Ventas_Totales]]-Ventas[[#This Row],[Costo_Total]]</f>
        <v>61400</v>
      </c>
    </row>
    <row r="191" spans="1:12">
      <c r="A191" t="s">
        <v>221</v>
      </c>
      <c r="B191" s="1">
        <v>45801</v>
      </c>
      <c r="C191" t="s">
        <v>33</v>
      </c>
      <c r="D191" t="s">
        <v>34</v>
      </c>
      <c r="E191">
        <v>2</v>
      </c>
      <c r="F191" s="2">
        <v>188900</v>
      </c>
      <c r="G191" s="2">
        <v>116300</v>
      </c>
      <c r="H191" t="s">
        <v>22</v>
      </c>
      <c r="I191" t="s">
        <v>13</v>
      </c>
      <c r="J191" s="2">
        <f>Ventas[[#This Row],[Cantidad]]*Ventas[[#This Row],[Precio_Unitario]]</f>
        <v>377800</v>
      </c>
      <c r="K191" s="2">
        <f>Ventas[[#This Row],[Cantidad]]*Ventas[[#This Row],[Costo_Unitario]]</f>
        <v>232600</v>
      </c>
      <c r="L191" s="2">
        <f>Ventas[[#This Row],[Ventas_Totales]]-Ventas[[#This Row],[Costo_Total]]</f>
        <v>145200</v>
      </c>
    </row>
    <row r="192" spans="1:12">
      <c r="A192" t="s">
        <v>222</v>
      </c>
      <c r="B192" s="1">
        <v>45802</v>
      </c>
      <c r="C192" t="s">
        <v>39</v>
      </c>
      <c r="D192" t="s">
        <v>11</v>
      </c>
      <c r="E192">
        <v>3</v>
      </c>
      <c r="F192" s="2">
        <v>32500</v>
      </c>
      <c r="G192" s="2">
        <v>18400</v>
      </c>
      <c r="H192" t="s">
        <v>22</v>
      </c>
      <c r="I192" t="s">
        <v>30</v>
      </c>
      <c r="J192" s="2">
        <f>Ventas[[#This Row],[Cantidad]]*Ventas[[#This Row],[Precio_Unitario]]</f>
        <v>97500</v>
      </c>
      <c r="K192" s="2">
        <f>Ventas[[#This Row],[Cantidad]]*Ventas[[#This Row],[Costo_Unitario]]</f>
        <v>55200</v>
      </c>
      <c r="L192" s="2">
        <f>Ventas[[#This Row],[Ventas_Totales]]-Ventas[[#This Row],[Costo_Total]]</f>
        <v>42300</v>
      </c>
    </row>
    <row r="193" spans="1:12">
      <c r="A193" t="s">
        <v>223</v>
      </c>
      <c r="B193" s="1">
        <v>45803</v>
      </c>
      <c r="C193" t="s">
        <v>15</v>
      </c>
      <c r="D193" t="s">
        <v>16</v>
      </c>
      <c r="E193">
        <v>5</v>
      </c>
      <c r="F193" s="2">
        <v>295300</v>
      </c>
      <c r="G193" s="2">
        <v>228100</v>
      </c>
      <c r="H193" t="s">
        <v>19</v>
      </c>
      <c r="I193" t="s">
        <v>30</v>
      </c>
      <c r="J193" s="2">
        <f>Ventas[[#This Row],[Cantidad]]*Ventas[[#This Row],[Precio_Unitario]]</f>
        <v>1476500</v>
      </c>
      <c r="K193" s="2">
        <f>Ventas[[#This Row],[Cantidad]]*Ventas[[#This Row],[Costo_Unitario]]</f>
        <v>1140500</v>
      </c>
      <c r="L193" s="2">
        <f>Ventas[[#This Row],[Ventas_Totales]]-Ventas[[#This Row],[Costo_Total]]</f>
        <v>336000</v>
      </c>
    </row>
    <row r="194" spans="1:12">
      <c r="A194" t="s">
        <v>224</v>
      </c>
      <c r="B194" s="1">
        <v>45804</v>
      </c>
      <c r="C194" t="s">
        <v>24</v>
      </c>
      <c r="D194" t="s">
        <v>11</v>
      </c>
      <c r="E194">
        <v>4</v>
      </c>
      <c r="F194" s="2">
        <v>51500</v>
      </c>
      <c r="G194" s="2">
        <v>25400</v>
      </c>
      <c r="H194" t="s">
        <v>12</v>
      </c>
      <c r="I194" t="s">
        <v>30</v>
      </c>
      <c r="J194" s="2">
        <f>Ventas[[#This Row],[Cantidad]]*Ventas[[#This Row],[Precio_Unitario]]</f>
        <v>206000</v>
      </c>
      <c r="K194" s="2">
        <f>Ventas[[#This Row],[Cantidad]]*Ventas[[#This Row],[Costo_Unitario]]</f>
        <v>101600</v>
      </c>
      <c r="L194" s="2">
        <f>Ventas[[#This Row],[Ventas_Totales]]-Ventas[[#This Row],[Costo_Total]]</f>
        <v>104400</v>
      </c>
    </row>
    <row r="195" spans="1:12">
      <c r="A195" t="s">
        <v>225</v>
      </c>
      <c r="B195" s="1">
        <v>45806</v>
      </c>
      <c r="C195" t="s">
        <v>33</v>
      </c>
      <c r="D195" t="s">
        <v>34</v>
      </c>
      <c r="E195">
        <v>5</v>
      </c>
      <c r="F195" s="2">
        <v>187900</v>
      </c>
      <c r="G195" s="2">
        <v>110800</v>
      </c>
      <c r="H195" t="s">
        <v>22</v>
      </c>
      <c r="I195" t="s">
        <v>30</v>
      </c>
      <c r="J195" s="2">
        <f>Ventas[[#This Row],[Cantidad]]*Ventas[[#This Row],[Precio_Unitario]]</f>
        <v>939500</v>
      </c>
      <c r="K195" s="2">
        <f>Ventas[[#This Row],[Cantidad]]*Ventas[[#This Row],[Costo_Unitario]]</f>
        <v>554000</v>
      </c>
      <c r="L195" s="2">
        <f>Ventas[[#This Row],[Ventas_Totales]]-Ventas[[#This Row],[Costo_Total]]</f>
        <v>385500</v>
      </c>
    </row>
    <row r="196" spans="1:12">
      <c r="A196" t="s">
        <v>226</v>
      </c>
      <c r="B196" s="1">
        <v>45806</v>
      </c>
      <c r="C196" t="s">
        <v>47</v>
      </c>
      <c r="D196" t="s">
        <v>16</v>
      </c>
      <c r="E196">
        <v>4</v>
      </c>
      <c r="F196" s="2">
        <v>678900</v>
      </c>
      <c r="G196" s="2">
        <v>474900</v>
      </c>
      <c r="H196" t="s">
        <v>12</v>
      </c>
      <c r="I196" t="s">
        <v>13</v>
      </c>
      <c r="J196" s="2">
        <f>Ventas[[#This Row],[Cantidad]]*Ventas[[#This Row],[Precio_Unitario]]</f>
        <v>2715600</v>
      </c>
      <c r="K196" s="2">
        <f>Ventas[[#This Row],[Cantidad]]*Ventas[[#This Row],[Costo_Unitario]]</f>
        <v>1899600</v>
      </c>
      <c r="L196" s="2">
        <f>Ventas[[#This Row],[Ventas_Totales]]-Ventas[[#This Row],[Costo_Total]]</f>
        <v>816000</v>
      </c>
    </row>
    <row r="197" spans="1:12">
      <c r="A197" t="s">
        <v>227</v>
      </c>
      <c r="B197" s="1">
        <v>45807</v>
      </c>
      <c r="C197" t="s">
        <v>39</v>
      </c>
      <c r="D197" t="s">
        <v>11</v>
      </c>
      <c r="E197">
        <v>6</v>
      </c>
      <c r="F197" s="2">
        <v>35500</v>
      </c>
      <c r="G197" s="2">
        <v>18300</v>
      </c>
      <c r="H197" t="s">
        <v>17</v>
      </c>
      <c r="I197" t="s">
        <v>72</v>
      </c>
      <c r="J197" s="2">
        <f>Ventas[[#This Row],[Cantidad]]*Ventas[[#This Row],[Precio_Unitario]]</f>
        <v>213000</v>
      </c>
      <c r="K197" s="2">
        <f>Ventas[[#This Row],[Cantidad]]*Ventas[[#This Row],[Costo_Unitario]]</f>
        <v>109800</v>
      </c>
      <c r="L197" s="2">
        <f>Ventas[[#This Row],[Ventas_Totales]]-Ventas[[#This Row],[Costo_Total]]</f>
        <v>103200</v>
      </c>
    </row>
    <row r="198" spans="1:12">
      <c r="A198" t="s">
        <v>228</v>
      </c>
      <c r="B198" s="1">
        <v>45808</v>
      </c>
      <c r="C198" t="s">
        <v>37</v>
      </c>
      <c r="D198" t="s">
        <v>34</v>
      </c>
      <c r="E198">
        <v>7</v>
      </c>
      <c r="F198" s="2">
        <v>275300</v>
      </c>
      <c r="G198" s="2">
        <v>173300</v>
      </c>
      <c r="H198" t="s">
        <v>17</v>
      </c>
      <c r="I198" t="s">
        <v>26</v>
      </c>
      <c r="J198" s="2">
        <f>Ventas[[#This Row],[Cantidad]]*Ventas[[#This Row],[Precio_Unitario]]</f>
        <v>1927100</v>
      </c>
      <c r="K198" s="2">
        <f>Ventas[[#This Row],[Cantidad]]*Ventas[[#This Row],[Costo_Unitario]]</f>
        <v>1213100</v>
      </c>
      <c r="L198" s="2">
        <f>Ventas[[#This Row],[Ventas_Totales]]-Ventas[[#This Row],[Costo_Total]]</f>
        <v>714000</v>
      </c>
    </row>
    <row r="199" spans="1:12">
      <c r="A199" t="s">
        <v>229</v>
      </c>
      <c r="B199" s="1">
        <v>45809</v>
      </c>
      <c r="C199" t="s">
        <v>24</v>
      </c>
      <c r="D199" t="s">
        <v>11</v>
      </c>
      <c r="E199">
        <v>4</v>
      </c>
      <c r="F199" s="2">
        <v>45000</v>
      </c>
      <c r="G199" s="2">
        <v>25000</v>
      </c>
      <c r="H199" t="s">
        <v>22</v>
      </c>
      <c r="I199" t="s">
        <v>13</v>
      </c>
      <c r="J199" s="2">
        <f>Ventas[[#This Row],[Cantidad]]*Ventas[[#This Row],[Precio_Unitario]]</f>
        <v>180000</v>
      </c>
      <c r="K199" s="2">
        <f>Ventas[[#This Row],[Cantidad]]*Ventas[[#This Row],[Costo_Unitario]]</f>
        <v>100000</v>
      </c>
      <c r="L199" s="2">
        <f>Ventas[[#This Row],[Ventas_Totales]]-Ventas[[#This Row],[Costo_Total]]</f>
        <v>80000</v>
      </c>
    </row>
    <row r="200" spans="1:12">
      <c r="A200" t="s">
        <v>230</v>
      </c>
      <c r="B200" s="1">
        <v>45809</v>
      </c>
      <c r="C200" t="s">
        <v>33</v>
      </c>
      <c r="D200" t="s">
        <v>34</v>
      </c>
      <c r="E200">
        <v>1</v>
      </c>
      <c r="F200" s="2">
        <v>187800</v>
      </c>
      <c r="G200" s="2">
        <v>112800</v>
      </c>
      <c r="H200" t="s">
        <v>25</v>
      </c>
      <c r="I200" t="s">
        <v>72</v>
      </c>
      <c r="J200" s="2">
        <f>Ventas[[#This Row],[Cantidad]]*Ventas[[#This Row],[Precio_Unitario]]</f>
        <v>187800</v>
      </c>
      <c r="K200" s="2">
        <f>Ventas[[#This Row],[Cantidad]]*Ventas[[#This Row],[Costo_Unitario]]</f>
        <v>112800</v>
      </c>
      <c r="L200" s="2">
        <f>Ventas[[#This Row],[Ventas_Totales]]-Ventas[[#This Row],[Costo_Total]]</f>
        <v>75000</v>
      </c>
    </row>
    <row r="201" spans="1:12">
      <c r="A201" t="s">
        <v>231</v>
      </c>
      <c r="B201" s="1">
        <v>45809</v>
      </c>
      <c r="C201" t="s">
        <v>39</v>
      </c>
      <c r="D201" t="s">
        <v>11</v>
      </c>
      <c r="E201">
        <v>5</v>
      </c>
      <c r="F201" s="2">
        <v>38400</v>
      </c>
      <c r="G201" s="2">
        <v>17300</v>
      </c>
      <c r="H201" t="s">
        <v>25</v>
      </c>
      <c r="I201" t="s">
        <v>64</v>
      </c>
      <c r="J201" s="2">
        <f>Ventas[[#This Row],[Cantidad]]*Ventas[[#This Row],[Precio_Unitario]]</f>
        <v>192000</v>
      </c>
      <c r="K201" s="2">
        <f>Ventas[[#This Row],[Cantidad]]*Ventas[[#This Row],[Costo_Unitario]]</f>
        <v>86500</v>
      </c>
      <c r="L201" s="2">
        <f>Ventas[[#This Row],[Ventas_Totales]]-Ventas[[#This Row],[Costo_Total]]</f>
        <v>105500</v>
      </c>
    </row>
    <row r="202" spans="1:12">
      <c r="A202" t="s">
        <v>232</v>
      </c>
      <c r="B202" s="1">
        <v>45809</v>
      </c>
      <c r="C202" t="s">
        <v>39</v>
      </c>
      <c r="D202" t="s">
        <v>11</v>
      </c>
      <c r="E202">
        <v>6</v>
      </c>
      <c r="F202" s="2">
        <v>32400</v>
      </c>
      <c r="G202" s="2">
        <v>17600</v>
      </c>
      <c r="H202" t="s">
        <v>25</v>
      </c>
      <c r="I202" t="s">
        <v>13</v>
      </c>
      <c r="J202" s="2">
        <f>Ventas[[#This Row],[Cantidad]]*Ventas[[#This Row],[Precio_Unitario]]</f>
        <v>194400</v>
      </c>
      <c r="K202" s="2">
        <f>Ventas[[#This Row],[Cantidad]]*Ventas[[#This Row],[Costo_Unitario]]</f>
        <v>105600</v>
      </c>
      <c r="L202" s="2">
        <f>Ventas[[#This Row],[Ventas_Totales]]-Ventas[[#This Row],[Costo_Total]]</f>
        <v>88800</v>
      </c>
    </row>
    <row r="203" spans="1:12">
      <c r="A203" t="s">
        <v>233</v>
      </c>
      <c r="B203" s="1">
        <v>45810</v>
      </c>
      <c r="C203" t="s">
        <v>33</v>
      </c>
      <c r="D203" t="s">
        <v>34</v>
      </c>
      <c r="E203">
        <v>6</v>
      </c>
      <c r="F203" s="2">
        <v>173100</v>
      </c>
      <c r="G203" s="2">
        <v>112000</v>
      </c>
      <c r="H203" t="s">
        <v>12</v>
      </c>
      <c r="I203" t="s">
        <v>13</v>
      </c>
      <c r="J203" s="2">
        <f>Ventas[[#This Row],[Cantidad]]*Ventas[[#This Row],[Precio_Unitario]]</f>
        <v>1038600</v>
      </c>
      <c r="K203" s="2">
        <f>Ventas[[#This Row],[Cantidad]]*Ventas[[#This Row],[Costo_Unitario]]</f>
        <v>672000</v>
      </c>
      <c r="L203" s="2">
        <f>Ventas[[#This Row],[Ventas_Totales]]-Ventas[[#This Row],[Costo_Total]]</f>
        <v>366600</v>
      </c>
    </row>
    <row r="204" spans="1:12">
      <c r="A204" t="s">
        <v>234</v>
      </c>
      <c r="B204" s="1">
        <v>45810</v>
      </c>
      <c r="C204" t="s">
        <v>21</v>
      </c>
      <c r="D204" t="s">
        <v>11</v>
      </c>
      <c r="E204">
        <v>4</v>
      </c>
      <c r="F204" s="2">
        <v>42500</v>
      </c>
      <c r="G204" s="2">
        <v>22600</v>
      </c>
      <c r="H204" t="s">
        <v>17</v>
      </c>
      <c r="I204" t="s">
        <v>30</v>
      </c>
      <c r="J204" s="2">
        <f>Ventas[[#This Row],[Cantidad]]*Ventas[[#This Row],[Precio_Unitario]]</f>
        <v>170000</v>
      </c>
      <c r="K204" s="2">
        <f>Ventas[[#This Row],[Cantidad]]*Ventas[[#This Row],[Costo_Unitario]]</f>
        <v>90400</v>
      </c>
      <c r="L204" s="2">
        <f>Ventas[[#This Row],[Ventas_Totales]]-Ventas[[#This Row],[Costo_Total]]</f>
        <v>79600</v>
      </c>
    </row>
    <row r="205" spans="1:12">
      <c r="A205" t="s">
        <v>235</v>
      </c>
      <c r="B205" s="1">
        <v>45810</v>
      </c>
      <c r="C205" t="s">
        <v>10</v>
      </c>
      <c r="D205" t="s">
        <v>11</v>
      </c>
      <c r="E205">
        <v>5</v>
      </c>
      <c r="F205" s="2">
        <v>20500</v>
      </c>
      <c r="G205" s="2">
        <v>10200</v>
      </c>
      <c r="H205" t="s">
        <v>12</v>
      </c>
      <c r="I205" t="s">
        <v>13</v>
      </c>
      <c r="J205" s="2">
        <f>Ventas[[#This Row],[Cantidad]]*Ventas[[#This Row],[Precio_Unitario]]</f>
        <v>102500</v>
      </c>
      <c r="K205" s="2">
        <f>Ventas[[#This Row],[Cantidad]]*Ventas[[#This Row],[Costo_Unitario]]</f>
        <v>51000</v>
      </c>
      <c r="L205" s="2">
        <f>Ventas[[#This Row],[Ventas_Totales]]-Ventas[[#This Row],[Costo_Total]]</f>
        <v>51500</v>
      </c>
    </row>
    <row r="206" spans="1:12">
      <c r="A206" t="s">
        <v>236</v>
      </c>
      <c r="B206" s="1">
        <v>45811</v>
      </c>
      <c r="C206" t="s">
        <v>39</v>
      </c>
      <c r="D206" t="s">
        <v>11</v>
      </c>
      <c r="E206">
        <v>7</v>
      </c>
      <c r="F206" s="2">
        <v>35500</v>
      </c>
      <c r="G206" s="2">
        <v>18100</v>
      </c>
      <c r="H206" t="s">
        <v>25</v>
      </c>
      <c r="I206" t="s">
        <v>13</v>
      </c>
      <c r="J206" s="2">
        <f>Ventas[[#This Row],[Cantidad]]*Ventas[[#This Row],[Precio_Unitario]]</f>
        <v>248500</v>
      </c>
      <c r="K206" s="2">
        <f>Ventas[[#This Row],[Cantidad]]*Ventas[[#This Row],[Costo_Unitario]]</f>
        <v>126700</v>
      </c>
      <c r="L206" s="2">
        <f>Ventas[[#This Row],[Ventas_Totales]]-Ventas[[#This Row],[Costo_Total]]</f>
        <v>121800</v>
      </c>
    </row>
    <row r="207" spans="1:12">
      <c r="A207" t="s">
        <v>237</v>
      </c>
      <c r="B207" s="1">
        <v>45811</v>
      </c>
      <c r="C207" t="s">
        <v>39</v>
      </c>
      <c r="D207" t="s">
        <v>11</v>
      </c>
      <c r="E207">
        <v>3</v>
      </c>
      <c r="F207" s="2">
        <v>32400</v>
      </c>
      <c r="G207" s="2">
        <v>17400</v>
      </c>
      <c r="H207" t="s">
        <v>22</v>
      </c>
      <c r="I207" t="s">
        <v>13</v>
      </c>
      <c r="J207" s="2">
        <f>Ventas[[#This Row],[Cantidad]]*Ventas[[#This Row],[Precio_Unitario]]</f>
        <v>97200</v>
      </c>
      <c r="K207" s="2">
        <f>Ventas[[#This Row],[Cantidad]]*Ventas[[#This Row],[Costo_Unitario]]</f>
        <v>52200</v>
      </c>
      <c r="L207" s="2">
        <f>Ventas[[#This Row],[Ventas_Totales]]-Ventas[[#This Row],[Costo_Total]]</f>
        <v>45000</v>
      </c>
    </row>
    <row r="208" spans="1:12">
      <c r="A208" t="s">
        <v>238</v>
      </c>
      <c r="B208" s="1">
        <v>45812</v>
      </c>
      <c r="C208" t="s">
        <v>55</v>
      </c>
      <c r="D208" t="s">
        <v>16</v>
      </c>
      <c r="E208">
        <v>6</v>
      </c>
      <c r="F208" s="2">
        <v>210500</v>
      </c>
      <c r="G208" s="2">
        <v>150300</v>
      </c>
      <c r="H208" t="s">
        <v>17</v>
      </c>
      <c r="I208" t="s">
        <v>26</v>
      </c>
      <c r="J208" s="2">
        <f>Ventas[[#This Row],[Cantidad]]*Ventas[[#This Row],[Precio_Unitario]]</f>
        <v>1263000</v>
      </c>
      <c r="K208" s="2">
        <f>Ventas[[#This Row],[Cantidad]]*Ventas[[#This Row],[Costo_Unitario]]</f>
        <v>901800</v>
      </c>
      <c r="L208" s="2">
        <f>Ventas[[#This Row],[Ventas_Totales]]-Ventas[[#This Row],[Costo_Total]]</f>
        <v>361200</v>
      </c>
    </row>
    <row r="209" spans="1:12">
      <c r="A209" t="s">
        <v>239</v>
      </c>
      <c r="B209" s="1">
        <v>45813</v>
      </c>
      <c r="C209" t="s">
        <v>55</v>
      </c>
      <c r="D209" t="s">
        <v>16</v>
      </c>
      <c r="E209">
        <v>5</v>
      </c>
      <c r="F209" s="2">
        <v>223700</v>
      </c>
      <c r="G209" s="2">
        <v>149800</v>
      </c>
      <c r="H209" t="s">
        <v>25</v>
      </c>
      <c r="I209" t="s">
        <v>13</v>
      </c>
      <c r="J209" s="2">
        <f>Ventas[[#This Row],[Cantidad]]*Ventas[[#This Row],[Precio_Unitario]]</f>
        <v>1118500</v>
      </c>
      <c r="K209" s="2">
        <f>Ventas[[#This Row],[Cantidad]]*Ventas[[#This Row],[Costo_Unitario]]</f>
        <v>749000</v>
      </c>
      <c r="L209" s="2">
        <f>Ventas[[#This Row],[Ventas_Totales]]-Ventas[[#This Row],[Costo_Total]]</f>
        <v>369500</v>
      </c>
    </row>
    <row r="210" spans="1:12">
      <c r="A210" t="s">
        <v>240</v>
      </c>
      <c r="B210" s="1">
        <v>45813</v>
      </c>
      <c r="C210" t="s">
        <v>55</v>
      </c>
      <c r="D210" t="s">
        <v>16</v>
      </c>
      <c r="E210">
        <v>3</v>
      </c>
      <c r="F210" s="2">
        <v>240400</v>
      </c>
      <c r="G210" s="2">
        <v>146700</v>
      </c>
      <c r="H210" t="s">
        <v>22</v>
      </c>
      <c r="I210" t="s">
        <v>30</v>
      </c>
      <c r="J210" s="2">
        <f>Ventas[[#This Row],[Cantidad]]*Ventas[[#This Row],[Precio_Unitario]]</f>
        <v>721200</v>
      </c>
      <c r="K210" s="2">
        <f>Ventas[[#This Row],[Cantidad]]*Ventas[[#This Row],[Costo_Unitario]]</f>
        <v>440100</v>
      </c>
      <c r="L210" s="2">
        <f>Ventas[[#This Row],[Ventas_Totales]]-Ventas[[#This Row],[Costo_Total]]</f>
        <v>281100</v>
      </c>
    </row>
    <row r="211" spans="1:12">
      <c r="A211" t="s">
        <v>241</v>
      </c>
      <c r="B211" s="1">
        <v>45815</v>
      </c>
      <c r="C211" t="s">
        <v>24</v>
      </c>
      <c r="D211" t="s">
        <v>11</v>
      </c>
      <c r="E211">
        <v>1</v>
      </c>
      <c r="F211" s="2">
        <v>49100</v>
      </c>
      <c r="G211" s="2">
        <v>25200</v>
      </c>
      <c r="H211" t="s">
        <v>25</v>
      </c>
      <c r="I211" t="s">
        <v>72</v>
      </c>
      <c r="J211" s="2">
        <f>Ventas[[#This Row],[Cantidad]]*Ventas[[#This Row],[Precio_Unitario]]</f>
        <v>49100</v>
      </c>
      <c r="K211" s="2">
        <f>Ventas[[#This Row],[Cantidad]]*Ventas[[#This Row],[Costo_Unitario]]</f>
        <v>25200</v>
      </c>
      <c r="L211" s="2">
        <f>Ventas[[#This Row],[Ventas_Totales]]-Ventas[[#This Row],[Costo_Total]]</f>
        <v>23900</v>
      </c>
    </row>
    <row r="212" spans="1:12">
      <c r="A212" t="s">
        <v>242</v>
      </c>
      <c r="B212" s="1">
        <v>45815</v>
      </c>
      <c r="C212" t="s">
        <v>21</v>
      </c>
      <c r="D212" t="s">
        <v>11</v>
      </c>
      <c r="E212">
        <v>1</v>
      </c>
      <c r="F212" s="2">
        <v>45000</v>
      </c>
      <c r="G212" s="2">
        <v>22700</v>
      </c>
      <c r="H212" t="s">
        <v>19</v>
      </c>
      <c r="I212" t="s">
        <v>26</v>
      </c>
      <c r="J212" s="2">
        <f>Ventas[[#This Row],[Cantidad]]*Ventas[[#This Row],[Precio_Unitario]]</f>
        <v>45000</v>
      </c>
      <c r="K212" s="2">
        <f>Ventas[[#This Row],[Cantidad]]*Ventas[[#This Row],[Costo_Unitario]]</f>
        <v>22700</v>
      </c>
      <c r="L212" s="2">
        <f>Ventas[[#This Row],[Ventas_Totales]]-Ventas[[#This Row],[Costo_Total]]</f>
        <v>22300</v>
      </c>
    </row>
    <row r="213" spans="1:12">
      <c r="A213" t="s">
        <v>243</v>
      </c>
      <c r="B213" s="1">
        <v>45816</v>
      </c>
      <c r="C213" t="s">
        <v>24</v>
      </c>
      <c r="D213" t="s">
        <v>11</v>
      </c>
      <c r="E213">
        <v>1</v>
      </c>
      <c r="F213" s="2">
        <v>47900</v>
      </c>
      <c r="G213" s="2">
        <v>25900</v>
      </c>
      <c r="H213" t="s">
        <v>25</v>
      </c>
      <c r="I213" t="s">
        <v>72</v>
      </c>
      <c r="J213" s="2">
        <f>Ventas[[#This Row],[Cantidad]]*Ventas[[#This Row],[Precio_Unitario]]</f>
        <v>47900</v>
      </c>
      <c r="K213" s="2">
        <f>Ventas[[#This Row],[Cantidad]]*Ventas[[#This Row],[Costo_Unitario]]</f>
        <v>25900</v>
      </c>
      <c r="L213" s="2">
        <f>Ventas[[#This Row],[Ventas_Totales]]-Ventas[[#This Row],[Costo_Total]]</f>
        <v>22000</v>
      </c>
    </row>
    <row r="214" spans="1:12">
      <c r="A214" t="s">
        <v>244</v>
      </c>
      <c r="B214" s="1">
        <v>45816</v>
      </c>
      <c r="C214" t="s">
        <v>47</v>
      </c>
      <c r="D214" t="s">
        <v>16</v>
      </c>
      <c r="E214">
        <v>5</v>
      </c>
      <c r="F214" s="2">
        <v>706800</v>
      </c>
      <c r="G214" s="2">
        <v>451900</v>
      </c>
      <c r="H214" t="s">
        <v>25</v>
      </c>
      <c r="I214" t="s">
        <v>13</v>
      </c>
      <c r="J214" s="2">
        <f>Ventas[[#This Row],[Cantidad]]*Ventas[[#This Row],[Precio_Unitario]]</f>
        <v>3534000</v>
      </c>
      <c r="K214" s="2">
        <f>Ventas[[#This Row],[Cantidad]]*Ventas[[#This Row],[Costo_Unitario]]</f>
        <v>2259500</v>
      </c>
      <c r="L214" s="2">
        <f>Ventas[[#This Row],[Ventas_Totales]]-Ventas[[#This Row],[Costo_Total]]</f>
        <v>1274500</v>
      </c>
    </row>
    <row r="215" spans="1:12">
      <c r="A215" t="s">
        <v>245</v>
      </c>
      <c r="B215" s="1">
        <v>45817</v>
      </c>
      <c r="C215" t="s">
        <v>55</v>
      </c>
      <c r="D215" t="s">
        <v>16</v>
      </c>
      <c r="E215">
        <v>5</v>
      </c>
      <c r="F215" s="2">
        <v>221500</v>
      </c>
      <c r="G215" s="2">
        <v>155100</v>
      </c>
      <c r="H215" t="s">
        <v>17</v>
      </c>
      <c r="I215" t="s">
        <v>30</v>
      </c>
      <c r="J215" s="2">
        <f>Ventas[[#This Row],[Cantidad]]*Ventas[[#This Row],[Precio_Unitario]]</f>
        <v>1107500</v>
      </c>
      <c r="K215" s="2">
        <f>Ventas[[#This Row],[Cantidad]]*Ventas[[#This Row],[Costo_Unitario]]</f>
        <v>775500</v>
      </c>
      <c r="L215" s="2">
        <f>Ventas[[#This Row],[Ventas_Totales]]-Ventas[[#This Row],[Costo_Total]]</f>
        <v>332000</v>
      </c>
    </row>
    <row r="216" spans="1:12">
      <c r="A216" t="s">
        <v>246</v>
      </c>
      <c r="B216" s="1">
        <v>45818</v>
      </c>
      <c r="C216" t="s">
        <v>55</v>
      </c>
      <c r="D216" t="s">
        <v>16</v>
      </c>
      <c r="E216">
        <v>4</v>
      </c>
      <c r="F216" s="2">
        <v>210100</v>
      </c>
      <c r="G216" s="2">
        <v>144000</v>
      </c>
      <c r="H216" t="s">
        <v>25</v>
      </c>
      <c r="I216" t="s">
        <v>13</v>
      </c>
      <c r="J216" s="2">
        <f>Ventas[[#This Row],[Cantidad]]*Ventas[[#This Row],[Precio_Unitario]]</f>
        <v>840400</v>
      </c>
      <c r="K216" s="2">
        <f>Ventas[[#This Row],[Cantidad]]*Ventas[[#This Row],[Costo_Unitario]]</f>
        <v>576000</v>
      </c>
      <c r="L216" s="2">
        <f>Ventas[[#This Row],[Ventas_Totales]]-Ventas[[#This Row],[Costo_Total]]</f>
        <v>264400</v>
      </c>
    </row>
    <row r="217" spans="1:12">
      <c r="A217" t="s">
        <v>247</v>
      </c>
      <c r="B217" s="1">
        <v>45818</v>
      </c>
      <c r="C217" t="s">
        <v>21</v>
      </c>
      <c r="D217" t="s">
        <v>11</v>
      </c>
      <c r="E217">
        <v>4</v>
      </c>
      <c r="F217" s="2">
        <v>43100</v>
      </c>
      <c r="G217" s="2">
        <v>22600</v>
      </c>
      <c r="H217" t="s">
        <v>12</v>
      </c>
      <c r="I217" t="s">
        <v>13</v>
      </c>
      <c r="J217" s="2">
        <f>Ventas[[#This Row],[Cantidad]]*Ventas[[#This Row],[Precio_Unitario]]</f>
        <v>172400</v>
      </c>
      <c r="K217" s="2">
        <f>Ventas[[#This Row],[Cantidad]]*Ventas[[#This Row],[Costo_Unitario]]</f>
        <v>90400</v>
      </c>
      <c r="L217" s="2">
        <f>Ventas[[#This Row],[Ventas_Totales]]-Ventas[[#This Row],[Costo_Total]]</f>
        <v>82000</v>
      </c>
    </row>
    <row r="218" spans="1:12">
      <c r="A218" t="s">
        <v>248</v>
      </c>
      <c r="B218" s="1">
        <v>45819</v>
      </c>
      <c r="C218" t="s">
        <v>47</v>
      </c>
      <c r="D218" t="s">
        <v>16</v>
      </c>
      <c r="E218">
        <v>3</v>
      </c>
      <c r="F218" s="2">
        <v>614200</v>
      </c>
      <c r="G218" s="2">
        <v>467300</v>
      </c>
      <c r="H218" t="s">
        <v>25</v>
      </c>
      <c r="I218" t="s">
        <v>13</v>
      </c>
      <c r="J218" s="2">
        <f>Ventas[[#This Row],[Cantidad]]*Ventas[[#This Row],[Precio_Unitario]]</f>
        <v>1842600</v>
      </c>
      <c r="K218" s="2">
        <f>Ventas[[#This Row],[Cantidad]]*Ventas[[#This Row],[Costo_Unitario]]</f>
        <v>1401900</v>
      </c>
      <c r="L218" s="2">
        <f>Ventas[[#This Row],[Ventas_Totales]]-Ventas[[#This Row],[Costo_Total]]</f>
        <v>440700</v>
      </c>
    </row>
    <row r="219" spans="1:12">
      <c r="A219" t="s">
        <v>249</v>
      </c>
      <c r="B219" s="1">
        <v>45820</v>
      </c>
      <c r="C219" t="s">
        <v>15</v>
      </c>
      <c r="D219" t="s">
        <v>16</v>
      </c>
      <c r="E219">
        <v>1</v>
      </c>
      <c r="F219" s="2">
        <v>332200</v>
      </c>
      <c r="G219" s="2">
        <v>231600</v>
      </c>
      <c r="H219" t="s">
        <v>12</v>
      </c>
      <c r="I219" t="s">
        <v>72</v>
      </c>
      <c r="J219" s="2">
        <f>Ventas[[#This Row],[Cantidad]]*Ventas[[#This Row],[Precio_Unitario]]</f>
        <v>332200</v>
      </c>
      <c r="K219" s="2">
        <f>Ventas[[#This Row],[Cantidad]]*Ventas[[#This Row],[Costo_Unitario]]</f>
        <v>231600</v>
      </c>
      <c r="L219" s="2">
        <f>Ventas[[#This Row],[Ventas_Totales]]-Ventas[[#This Row],[Costo_Total]]</f>
        <v>100600</v>
      </c>
    </row>
    <row r="220" spans="1:12">
      <c r="A220" t="s">
        <v>250</v>
      </c>
      <c r="B220" s="1">
        <v>45821</v>
      </c>
      <c r="C220" t="s">
        <v>10</v>
      </c>
      <c r="D220" t="s">
        <v>11</v>
      </c>
      <c r="E220">
        <v>6</v>
      </c>
      <c r="F220" s="2">
        <v>23900</v>
      </c>
      <c r="G220" s="2">
        <v>9800</v>
      </c>
      <c r="H220" t="s">
        <v>22</v>
      </c>
      <c r="I220" t="s">
        <v>13</v>
      </c>
      <c r="J220" s="2">
        <f>Ventas[[#This Row],[Cantidad]]*Ventas[[#This Row],[Precio_Unitario]]</f>
        <v>143400</v>
      </c>
      <c r="K220" s="2">
        <f>Ventas[[#This Row],[Cantidad]]*Ventas[[#This Row],[Costo_Unitario]]</f>
        <v>58800</v>
      </c>
      <c r="L220" s="2">
        <f>Ventas[[#This Row],[Ventas_Totales]]-Ventas[[#This Row],[Costo_Total]]</f>
        <v>84600</v>
      </c>
    </row>
    <row r="221" spans="1:12">
      <c r="A221" t="s">
        <v>251</v>
      </c>
      <c r="B221" s="1">
        <v>45821</v>
      </c>
      <c r="C221" t="s">
        <v>37</v>
      </c>
      <c r="D221" t="s">
        <v>34</v>
      </c>
      <c r="E221">
        <v>1</v>
      </c>
      <c r="F221" s="2">
        <v>274900</v>
      </c>
      <c r="G221" s="2">
        <v>181800</v>
      </c>
      <c r="H221" t="s">
        <v>19</v>
      </c>
      <c r="I221" t="s">
        <v>30</v>
      </c>
      <c r="J221" s="2">
        <f>Ventas[[#This Row],[Cantidad]]*Ventas[[#This Row],[Precio_Unitario]]</f>
        <v>274900</v>
      </c>
      <c r="K221" s="2">
        <f>Ventas[[#This Row],[Cantidad]]*Ventas[[#This Row],[Costo_Unitario]]</f>
        <v>181800</v>
      </c>
      <c r="L221" s="2">
        <f>Ventas[[#This Row],[Ventas_Totales]]-Ventas[[#This Row],[Costo_Total]]</f>
        <v>93100</v>
      </c>
    </row>
    <row r="222" spans="1:12">
      <c r="A222" t="s">
        <v>252</v>
      </c>
      <c r="B222" s="1">
        <v>45821</v>
      </c>
      <c r="C222" t="s">
        <v>55</v>
      </c>
      <c r="D222" t="s">
        <v>16</v>
      </c>
      <c r="E222">
        <v>3</v>
      </c>
      <c r="F222" s="2">
        <v>226600</v>
      </c>
      <c r="G222" s="2">
        <v>153300</v>
      </c>
      <c r="H222" t="s">
        <v>25</v>
      </c>
      <c r="I222" t="s">
        <v>64</v>
      </c>
      <c r="J222" s="2">
        <f>Ventas[[#This Row],[Cantidad]]*Ventas[[#This Row],[Precio_Unitario]]</f>
        <v>679800</v>
      </c>
      <c r="K222" s="2">
        <f>Ventas[[#This Row],[Cantidad]]*Ventas[[#This Row],[Costo_Unitario]]</f>
        <v>459900</v>
      </c>
      <c r="L222" s="2">
        <f>Ventas[[#This Row],[Ventas_Totales]]-Ventas[[#This Row],[Costo_Total]]</f>
        <v>219900</v>
      </c>
    </row>
    <row r="223" spans="1:12">
      <c r="A223" t="s">
        <v>253</v>
      </c>
      <c r="B223" s="1">
        <v>45821</v>
      </c>
      <c r="C223" t="s">
        <v>10</v>
      </c>
      <c r="D223" t="s">
        <v>11</v>
      </c>
      <c r="E223">
        <v>5</v>
      </c>
      <c r="F223" s="2">
        <v>24100</v>
      </c>
      <c r="G223" s="2">
        <v>10300</v>
      </c>
      <c r="H223" t="s">
        <v>17</v>
      </c>
      <c r="I223" t="s">
        <v>72</v>
      </c>
      <c r="J223" s="2">
        <f>Ventas[[#This Row],[Cantidad]]*Ventas[[#This Row],[Precio_Unitario]]</f>
        <v>120500</v>
      </c>
      <c r="K223" s="2">
        <f>Ventas[[#This Row],[Cantidad]]*Ventas[[#This Row],[Costo_Unitario]]</f>
        <v>51500</v>
      </c>
      <c r="L223" s="2">
        <f>Ventas[[#This Row],[Ventas_Totales]]-Ventas[[#This Row],[Costo_Total]]</f>
        <v>69000</v>
      </c>
    </row>
    <row r="224" spans="1:12">
      <c r="A224" t="s">
        <v>254</v>
      </c>
      <c r="B224" s="1">
        <v>45822</v>
      </c>
      <c r="C224" t="s">
        <v>10</v>
      </c>
      <c r="D224" t="s">
        <v>11</v>
      </c>
      <c r="E224">
        <v>6</v>
      </c>
      <c r="F224" s="2">
        <v>22300</v>
      </c>
      <c r="G224" s="2">
        <v>10100</v>
      </c>
      <c r="H224" t="s">
        <v>22</v>
      </c>
      <c r="I224" t="s">
        <v>72</v>
      </c>
      <c r="J224" s="2">
        <f>Ventas[[#This Row],[Cantidad]]*Ventas[[#This Row],[Precio_Unitario]]</f>
        <v>133800</v>
      </c>
      <c r="K224" s="2">
        <f>Ventas[[#This Row],[Cantidad]]*Ventas[[#This Row],[Costo_Unitario]]</f>
        <v>60600</v>
      </c>
      <c r="L224" s="2">
        <f>Ventas[[#This Row],[Ventas_Totales]]-Ventas[[#This Row],[Costo_Total]]</f>
        <v>73200</v>
      </c>
    </row>
    <row r="225" spans="1:12">
      <c r="A225" t="s">
        <v>255</v>
      </c>
      <c r="B225" s="1">
        <v>45822</v>
      </c>
      <c r="C225" t="s">
        <v>39</v>
      </c>
      <c r="D225" t="s">
        <v>11</v>
      </c>
      <c r="E225">
        <v>5</v>
      </c>
      <c r="F225" s="2">
        <v>38000</v>
      </c>
      <c r="G225" s="2">
        <v>18600</v>
      </c>
      <c r="H225" t="s">
        <v>12</v>
      </c>
      <c r="I225" t="s">
        <v>64</v>
      </c>
      <c r="J225" s="2">
        <f>Ventas[[#This Row],[Cantidad]]*Ventas[[#This Row],[Precio_Unitario]]</f>
        <v>190000</v>
      </c>
      <c r="K225" s="2">
        <f>Ventas[[#This Row],[Cantidad]]*Ventas[[#This Row],[Costo_Unitario]]</f>
        <v>93000</v>
      </c>
      <c r="L225" s="2">
        <f>Ventas[[#This Row],[Ventas_Totales]]-Ventas[[#This Row],[Costo_Total]]</f>
        <v>97000</v>
      </c>
    </row>
    <row r="226" spans="1:12">
      <c r="A226" t="s">
        <v>256</v>
      </c>
      <c r="B226" s="1">
        <v>45822</v>
      </c>
      <c r="C226" t="s">
        <v>39</v>
      </c>
      <c r="D226" t="s">
        <v>11</v>
      </c>
      <c r="E226">
        <v>3</v>
      </c>
      <c r="F226" s="2">
        <v>38100</v>
      </c>
      <c r="G226" s="2">
        <v>18300</v>
      </c>
      <c r="H226" t="s">
        <v>12</v>
      </c>
      <c r="I226" t="s">
        <v>26</v>
      </c>
      <c r="J226" s="2">
        <f>Ventas[[#This Row],[Cantidad]]*Ventas[[#This Row],[Precio_Unitario]]</f>
        <v>114300</v>
      </c>
      <c r="K226" s="2">
        <f>Ventas[[#This Row],[Cantidad]]*Ventas[[#This Row],[Costo_Unitario]]</f>
        <v>54900</v>
      </c>
      <c r="L226" s="2">
        <f>Ventas[[#This Row],[Ventas_Totales]]-Ventas[[#This Row],[Costo_Total]]</f>
        <v>59400</v>
      </c>
    </row>
    <row r="227" spans="1:12">
      <c r="A227" t="s">
        <v>257</v>
      </c>
      <c r="B227" s="1">
        <v>45823</v>
      </c>
      <c r="C227" t="s">
        <v>24</v>
      </c>
      <c r="D227" t="s">
        <v>11</v>
      </c>
      <c r="E227">
        <v>6</v>
      </c>
      <c r="F227" s="2">
        <v>47100</v>
      </c>
      <c r="G227" s="2">
        <v>26700</v>
      </c>
      <c r="H227" t="s">
        <v>12</v>
      </c>
      <c r="I227" t="s">
        <v>30</v>
      </c>
      <c r="J227" s="2">
        <f>Ventas[[#This Row],[Cantidad]]*Ventas[[#This Row],[Precio_Unitario]]</f>
        <v>282600</v>
      </c>
      <c r="K227" s="2">
        <f>Ventas[[#This Row],[Cantidad]]*Ventas[[#This Row],[Costo_Unitario]]</f>
        <v>160200</v>
      </c>
      <c r="L227" s="2">
        <f>Ventas[[#This Row],[Ventas_Totales]]-Ventas[[#This Row],[Costo_Total]]</f>
        <v>122400</v>
      </c>
    </row>
    <row r="228" spans="1:12">
      <c r="A228" t="s">
        <v>258</v>
      </c>
      <c r="B228" s="1">
        <v>45824</v>
      </c>
      <c r="C228" t="s">
        <v>66</v>
      </c>
      <c r="D228" t="s">
        <v>34</v>
      </c>
      <c r="E228">
        <v>4</v>
      </c>
      <c r="F228" s="2">
        <v>27000</v>
      </c>
      <c r="G228" s="2">
        <v>14000</v>
      </c>
      <c r="H228" t="s">
        <v>19</v>
      </c>
      <c r="I228" t="s">
        <v>13</v>
      </c>
      <c r="J228" s="2">
        <f>Ventas[[#This Row],[Cantidad]]*Ventas[[#This Row],[Precio_Unitario]]</f>
        <v>108000</v>
      </c>
      <c r="K228" s="2">
        <f>Ventas[[#This Row],[Cantidad]]*Ventas[[#This Row],[Costo_Unitario]]</f>
        <v>56000</v>
      </c>
      <c r="L228" s="2">
        <f>Ventas[[#This Row],[Ventas_Totales]]-Ventas[[#This Row],[Costo_Total]]</f>
        <v>52000</v>
      </c>
    </row>
    <row r="229" spans="1:12">
      <c r="A229" t="s">
        <v>259</v>
      </c>
      <c r="B229" s="1">
        <v>45826</v>
      </c>
      <c r="C229" t="s">
        <v>33</v>
      </c>
      <c r="D229" t="s">
        <v>34</v>
      </c>
      <c r="E229">
        <v>7</v>
      </c>
      <c r="F229" s="2">
        <v>170500</v>
      </c>
      <c r="G229" s="2">
        <v>113600</v>
      </c>
      <c r="H229" t="s">
        <v>22</v>
      </c>
      <c r="I229" t="s">
        <v>13</v>
      </c>
      <c r="J229" s="2">
        <f>Ventas[[#This Row],[Cantidad]]*Ventas[[#This Row],[Precio_Unitario]]</f>
        <v>1193500</v>
      </c>
      <c r="K229" s="2">
        <f>Ventas[[#This Row],[Cantidad]]*Ventas[[#This Row],[Costo_Unitario]]</f>
        <v>795200</v>
      </c>
      <c r="L229" s="2">
        <f>Ventas[[#This Row],[Ventas_Totales]]-Ventas[[#This Row],[Costo_Total]]</f>
        <v>398300</v>
      </c>
    </row>
    <row r="230" spans="1:12">
      <c r="A230" t="s">
        <v>260</v>
      </c>
      <c r="B230" s="1">
        <v>45827</v>
      </c>
      <c r="C230" t="s">
        <v>33</v>
      </c>
      <c r="D230" t="s">
        <v>34</v>
      </c>
      <c r="E230">
        <v>3</v>
      </c>
      <c r="F230" s="2">
        <v>173800</v>
      </c>
      <c r="G230" s="2">
        <v>114000</v>
      </c>
      <c r="H230" t="s">
        <v>12</v>
      </c>
      <c r="I230" t="s">
        <v>72</v>
      </c>
      <c r="J230" s="2">
        <f>Ventas[[#This Row],[Cantidad]]*Ventas[[#This Row],[Precio_Unitario]]</f>
        <v>521400</v>
      </c>
      <c r="K230" s="2">
        <f>Ventas[[#This Row],[Cantidad]]*Ventas[[#This Row],[Costo_Unitario]]</f>
        <v>342000</v>
      </c>
      <c r="L230" s="2">
        <f>Ventas[[#This Row],[Ventas_Totales]]-Ventas[[#This Row],[Costo_Total]]</f>
        <v>179400</v>
      </c>
    </row>
    <row r="231" spans="1:12">
      <c r="A231" t="s">
        <v>261</v>
      </c>
      <c r="B231" s="1">
        <v>45828</v>
      </c>
      <c r="C231" t="s">
        <v>33</v>
      </c>
      <c r="D231" t="s">
        <v>34</v>
      </c>
      <c r="E231">
        <v>2</v>
      </c>
      <c r="F231" s="2">
        <v>191000</v>
      </c>
      <c r="G231" s="2">
        <v>112300</v>
      </c>
      <c r="H231" t="s">
        <v>12</v>
      </c>
      <c r="I231" t="s">
        <v>30</v>
      </c>
      <c r="J231" s="2">
        <f>Ventas[[#This Row],[Cantidad]]*Ventas[[#This Row],[Precio_Unitario]]</f>
        <v>382000</v>
      </c>
      <c r="K231" s="2">
        <f>Ventas[[#This Row],[Cantidad]]*Ventas[[#This Row],[Costo_Unitario]]</f>
        <v>224600</v>
      </c>
      <c r="L231" s="2">
        <f>Ventas[[#This Row],[Ventas_Totales]]-Ventas[[#This Row],[Costo_Total]]</f>
        <v>157400</v>
      </c>
    </row>
    <row r="232" spans="1:12">
      <c r="A232" t="s">
        <v>262</v>
      </c>
      <c r="B232" s="1">
        <v>45828</v>
      </c>
      <c r="C232" t="s">
        <v>47</v>
      </c>
      <c r="D232" t="s">
        <v>16</v>
      </c>
      <c r="E232">
        <v>3</v>
      </c>
      <c r="F232" s="2">
        <v>604400</v>
      </c>
      <c r="G232" s="2">
        <v>473100</v>
      </c>
      <c r="H232" t="s">
        <v>17</v>
      </c>
      <c r="I232" t="s">
        <v>26</v>
      </c>
      <c r="J232" s="2">
        <f>Ventas[[#This Row],[Cantidad]]*Ventas[[#This Row],[Precio_Unitario]]</f>
        <v>1813200</v>
      </c>
      <c r="K232" s="2">
        <f>Ventas[[#This Row],[Cantidad]]*Ventas[[#This Row],[Costo_Unitario]]</f>
        <v>1419300</v>
      </c>
      <c r="L232" s="2">
        <f>Ventas[[#This Row],[Ventas_Totales]]-Ventas[[#This Row],[Costo_Total]]</f>
        <v>393900</v>
      </c>
    </row>
    <row r="233" spans="1:12">
      <c r="A233" t="s">
        <v>263</v>
      </c>
      <c r="B233" s="1">
        <v>45829</v>
      </c>
      <c r="C233" t="s">
        <v>24</v>
      </c>
      <c r="D233" t="s">
        <v>11</v>
      </c>
      <c r="E233">
        <v>1</v>
      </c>
      <c r="F233" s="2">
        <v>47200</v>
      </c>
      <c r="G233" s="2">
        <v>26800</v>
      </c>
      <c r="H233" t="s">
        <v>12</v>
      </c>
      <c r="I233" t="s">
        <v>64</v>
      </c>
      <c r="J233" s="2">
        <f>Ventas[[#This Row],[Cantidad]]*Ventas[[#This Row],[Precio_Unitario]]</f>
        <v>47200</v>
      </c>
      <c r="K233" s="2">
        <f>Ventas[[#This Row],[Cantidad]]*Ventas[[#This Row],[Costo_Unitario]]</f>
        <v>26800</v>
      </c>
      <c r="L233" s="2">
        <f>Ventas[[#This Row],[Ventas_Totales]]-Ventas[[#This Row],[Costo_Total]]</f>
        <v>20400</v>
      </c>
    </row>
    <row r="234" spans="1:12">
      <c r="A234" t="s">
        <v>264</v>
      </c>
      <c r="B234" s="1">
        <v>45829</v>
      </c>
      <c r="C234" t="s">
        <v>21</v>
      </c>
      <c r="D234" t="s">
        <v>11</v>
      </c>
      <c r="E234">
        <v>6</v>
      </c>
      <c r="F234" s="2">
        <v>38700</v>
      </c>
      <c r="G234" s="2">
        <v>23500</v>
      </c>
      <c r="H234" t="s">
        <v>22</v>
      </c>
      <c r="I234" t="s">
        <v>64</v>
      </c>
      <c r="J234" s="2">
        <f>Ventas[[#This Row],[Cantidad]]*Ventas[[#This Row],[Precio_Unitario]]</f>
        <v>232200</v>
      </c>
      <c r="K234" s="2">
        <f>Ventas[[#This Row],[Cantidad]]*Ventas[[#This Row],[Costo_Unitario]]</f>
        <v>141000</v>
      </c>
      <c r="L234" s="2">
        <f>Ventas[[#This Row],[Ventas_Totales]]-Ventas[[#This Row],[Costo_Total]]</f>
        <v>91200</v>
      </c>
    </row>
    <row r="235" spans="1:12">
      <c r="A235" t="s">
        <v>265</v>
      </c>
      <c r="B235" s="1">
        <v>45831</v>
      </c>
      <c r="C235" t="s">
        <v>55</v>
      </c>
      <c r="D235" t="s">
        <v>16</v>
      </c>
      <c r="E235">
        <v>4</v>
      </c>
      <c r="F235" s="2">
        <v>209000</v>
      </c>
      <c r="G235" s="2">
        <v>149400</v>
      </c>
      <c r="H235" t="s">
        <v>17</v>
      </c>
      <c r="I235" t="s">
        <v>64</v>
      </c>
      <c r="J235" s="2">
        <f>Ventas[[#This Row],[Cantidad]]*Ventas[[#This Row],[Precio_Unitario]]</f>
        <v>836000</v>
      </c>
      <c r="K235" s="2">
        <f>Ventas[[#This Row],[Cantidad]]*Ventas[[#This Row],[Costo_Unitario]]</f>
        <v>597600</v>
      </c>
      <c r="L235" s="2">
        <f>Ventas[[#This Row],[Ventas_Totales]]-Ventas[[#This Row],[Costo_Total]]</f>
        <v>238400</v>
      </c>
    </row>
    <row r="236" spans="1:12">
      <c r="A236" t="s">
        <v>266</v>
      </c>
      <c r="B236" s="1">
        <v>45832</v>
      </c>
      <c r="C236" t="s">
        <v>24</v>
      </c>
      <c r="D236" t="s">
        <v>11</v>
      </c>
      <c r="E236">
        <v>2</v>
      </c>
      <c r="F236" s="2">
        <v>44500</v>
      </c>
      <c r="G236" s="2">
        <v>26600</v>
      </c>
      <c r="H236" t="s">
        <v>12</v>
      </c>
      <c r="I236" t="s">
        <v>30</v>
      </c>
      <c r="J236" s="2">
        <f>Ventas[[#This Row],[Cantidad]]*Ventas[[#This Row],[Precio_Unitario]]</f>
        <v>89000</v>
      </c>
      <c r="K236" s="2">
        <f>Ventas[[#This Row],[Cantidad]]*Ventas[[#This Row],[Costo_Unitario]]</f>
        <v>53200</v>
      </c>
      <c r="L236" s="2">
        <f>Ventas[[#This Row],[Ventas_Totales]]-Ventas[[#This Row],[Costo_Total]]</f>
        <v>35800</v>
      </c>
    </row>
    <row r="237" spans="1:12">
      <c r="A237" t="s">
        <v>267</v>
      </c>
      <c r="B237" s="1">
        <v>45833</v>
      </c>
      <c r="C237" t="s">
        <v>66</v>
      </c>
      <c r="D237" t="s">
        <v>34</v>
      </c>
      <c r="E237">
        <v>3</v>
      </c>
      <c r="F237" s="2">
        <v>30400</v>
      </c>
      <c r="G237" s="2">
        <v>14500</v>
      </c>
      <c r="H237" t="s">
        <v>19</v>
      </c>
      <c r="I237" t="s">
        <v>64</v>
      </c>
      <c r="J237" s="2">
        <f>Ventas[[#This Row],[Cantidad]]*Ventas[[#This Row],[Precio_Unitario]]</f>
        <v>91200</v>
      </c>
      <c r="K237" s="2">
        <f>Ventas[[#This Row],[Cantidad]]*Ventas[[#This Row],[Costo_Unitario]]</f>
        <v>43500</v>
      </c>
      <c r="L237" s="2">
        <f>Ventas[[#This Row],[Ventas_Totales]]-Ventas[[#This Row],[Costo_Total]]</f>
        <v>47700</v>
      </c>
    </row>
    <row r="238" spans="1:12">
      <c r="A238" t="s">
        <v>268</v>
      </c>
      <c r="B238" s="1">
        <v>45834</v>
      </c>
      <c r="C238" t="s">
        <v>10</v>
      </c>
      <c r="D238" t="s">
        <v>11</v>
      </c>
      <c r="E238">
        <v>3</v>
      </c>
      <c r="F238" s="2">
        <v>23300</v>
      </c>
      <c r="G238" s="2">
        <v>9800</v>
      </c>
      <c r="H238" t="s">
        <v>17</v>
      </c>
      <c r="I238" t="s">
        <v>13</v>
      </c>
      <c r="J238" s="2">
        <f>Ventas[[#This Row],[Cantidad]]*Ventas[[#This Row],[Precio_Unitario]]</f>
        <v>69900</v>
      </c>
      <c r="K238" s="2">
        <f>Ventas[[#This Row],[Cantidad]]*Ventas[[#This Row],[Costo_Unitario]]</f>
        <v>29400</v>
      </c>
      <c r="L238" s="2">
        <f>Ventas[[#This Row],[Ventas_Totales]]-Ventas[[#This Row],[Costo_Total]]</f>
        <v>40500</v>
      </c>
    </row>
    <row r="239" spans="1:12">
      <c r="A239" t="s">
        <v>269</v>
      </c>
      <c r="B239" s="1">
        <v>45835</v>
      </c>
      <c r="C239" t="s">
        <v>24</v>
      </c>
      <c r="D239" t="s">
        <v>11</v>
      </c>
      <c r="E239">
        <v>1</v>
      </c>
      <c r="F239" s="2">
        <v>48000</v>
      </c>
      <c r="G239" s="2">
        <v>26500</v>
      </c>
      <c r="H239" t="s">
        <v>12</v>
      </c>
      <c r="I239" t="s">
        <v>13</v>
      </c>
      <c r="J239" s="2">
        <f>Ventas[[#This Row],[Cantidad]]*Ventas[[#This Row],[Precio_Unitario]]</f>
        <v>48000</v>
      </c>
      <c r="K239" s="2">
        <f>Ventas[[#This Row],[Cantidad]]*Ventas[[#This Row],[Costo_Unitario]]</f>
        <v>26500</v>
      </c>
      <c r="L239" s="2">
        <f>Ventas[[#This Row],[Ventas_Totales]]-Ventas[[#This Row],[Costo_Total]]</f>
        <v>21500</v>
      </c>
    </row>
    <row r="240" spans="1:12">
      <c r="A240" t="s">
        <v>270</v>
      </c>
      <c r="B240" s="1">
        <v>45836</v>
      </c>
      <c r="C240" t="s">
        <v>55</v>
      </c>
      <c r="D240" t="s">
        <v>16</v>
      </c>
      <c r="E240">
        <v>2</v>
      </c>
      <c r="F240" s="2">
        <v>210900</v>
      </c>
      <c r="G240" s="2">
        <v>154300</v>
      </c>
      <c r="H240" t="s">
        <v>25</v>
      </c>
      <c r="I240" t="s">
        <v>30</v>
      </c>
      <c r="J240" s="2">
        <f>Ventas[[#This Row],[Cantidad]]*Ventas[[#This Row],[Precio_Unitario]]</f>
        <v>421800</v>
      </c>
      <c r="K240" s="2">
        <f>Ventas[[#This Row],[Cantidad]]*Ventas[[#This Row],[Costo_Unitario]]</f>
        <v>308600</v>
      </c>
      <c r="L240" s="2">
        <f>Ventas[[#This Row],[Ventas_Totales]]-Ventas[[#This Row],[Costo_Total]]</f>
        <v>113200</v>
      </c>
    </row>
    <row r="241" spans="1:12">
      <c r="A241" t="s">
        <v>271</v>
      </c>
      <c r="B241" s="1">
        <v>45836</v>
      </c>
      <c r="C241" t="s">
        <v>24</v>
      </c>
      <c r="D241" t="s">
        <v>11</v>
      </c>
      <c r="E241">
        <v>4</v>
      </c>
      <c r="F241" s="2">
        <v>46700</v>
      </c>
      <c r="G241" s="2">
        <v>26100</v>
      </c>
      <c r="H241" t="s">
        <v>25</v>
      </c>
      <c r="I241" t="s">
        <v>13</v>
      </c>
      <c r="J241" s="2">
        <f>Ventas[[#This Row],[Cantidad]]*Ventas[[#This Row],[Precio_Unitario]]</f>
        <v>186800</v>
      </c>
      <c r="K241" s="2">
        <f>Ventas[[#This Row],[Cantidad]]*Ventas[[#This Row],[Costo_Unitario]]</f>
        <v>104400</v>
      </c>
      <c r="L241" s="2">
        <f>Ventas[[#This Row],[Ventas_Totales]]-Ventas[[#This Row],[Costo_Total]]</f>
        <v>82400</v>
      </c>
    </row>
    <row r="242" spans="1:12">
      <c r="A242" t="s">
        <v>272</v>
      </c>
      <c r="B242" s="1">
        <v>45836</v>
      </c>
      <c r="C242" t="s">
        <v>55</v>
      </c>
      <c r="D242" t="s">
        <v>16</v>
      </c>
      <c r="E242">
        <v>1</v>
      </c>
      <c r="F242" s="2">
        <v>237100</v>
      </c>
      <c r="G242" s="2">
        <v>145600</v>
      </c>
      <c r="H242" t="s">
        <v>12</v>
      </c>
      <c r="I242" t="s">
        <v>64</v>
      </c>
      <c r="J242" s="2">
        <f>Ventas[[#This Row],[Cantidad]]*Ventas[[#This Row],[Precio_Unitario]]</f>
        <v>237100</v>
      </c>
      <c r="K242" s="2">
        <f>Ventas[[#This Row],[Cantidad]]*Ventas[[#This Row],[Costo_Unitario]]</f>
        <v>145600</v>
      </c>
      <c r="L242" s="2">
        <f>Ventas[[#This Row],[Ventas_Totales]]-Ventas[[#This Row],[Costo_Total]]</f>
        <v>91500</v>
      </c>
    </row>
    <row r="243" spans="1:12">
      <c r="A243" t="s">
        <v>273</v>
      </c>
      <c r="B243" s="1">
        <v>45837</v>
      </c>
      <c r="C243" t="s">
        <v>39</v>
      </c>
      <c r="D243" t="s">
        <v>11</v>
      </c>
      <c r="E243">
        <v>7</v>
      </c>
      <c r="F243" s="2">
        <v>35600</v>
      </c>
      <c r="G243" s="2">
        <v>17800</v>
      </c>
      <c r="H243" t="s">
        <v>17</v>
      </c>
      <c r="I243" t="s">
        <v>13</v>
      </c>
      <c r="J243" s="2">
        <f>Ventas[[#This Row],[Cantidad]]*Ventas[[#This Row],[Precio_Unitario]]</f>
        <v>249200</v>
      </c>
      <c r="K243" s="2">
        <f>Ventas[[#This Row],[Cantidad]]*Ventas[[#This Row],[Costo_Unitario]]</f>
        <v>124600</v>
      </c>
      <c r="L243" s="2">
        <f>Ventas[[#This Row],[Ventas_Totales]]-Ventas[[#This Row],[Costo_Total]]</f>
        <v>124600</v>
      </c>
    </row>
    <row r="244" spans="1:12">
      <c r="A244" t="s">
        <v>274</v>
      </c>
      <c r="B244" s="1">
        <v>45838</v>
      </c>
      <c r="C244" t="s">
        <v>47</v>
      </c>
      <c r="D244" t="s">
        <v>16</v>
      </c>
      <c r="E244">
        <v>4</v>
      </c>
      <c r="F244" s="2">
        <v>696500</v>
      </c>
      <c r="G244" s="2">
        <v>463600</v>
      </c>
      <c r="H244" t="s">
        <v>22</v>
      </c>
      <c r="I244" t="s">
        <v>30</v>
      </c>
      <c r="J244" s="2">
        <f>Ventas[[#This Row],[Cantidad]]*Ventas[[#This Row],[Precio_Unitario]]</f>
        <v>2786000</v>
      </c>
      <c r="K244" s="2">
        <f>Ventas[[#This Row],[Cantidad]]*Ventas[[#This Row],[Costo_Unitario]]</f>
        <v>1854400</v>
      </c>
      <c r="L244" s="2">
        <f>Ventas[[#This Row],[Ventas_Totales]]-Ventas[[#This Row],[Costo_Total]]</f>
        <v>931600</v>
      </c>
    </row>
    <row r="245" spans="1:12">
      <c r="A245" t="s">
        <v>275</v>
      </c>
      <c r="B245" s="1">
        <v>45838</v>
      </c>
      <c r="C245" t="s">
        <v>55</v>
      </c>
      <c r="D245" t="s">
        <v>16</v>
      </c>
      <c r="E245">
        <v>4</v>
      </c>
      <c r="F245" s="2">
        <v>233700</v>
      </c>
      <c r="G245" s="2">
        <v>151500</v>
      </c>
      <c r="H245" t="s">
        <v>22</v>
      </c>
      <c r="I245" t="s">
        <v>72</v>
      </c>
      <c r="J245" s="2">
        <f>Ventas[[#This Row],[Cantidad]]*Ventas[[#This Row],[Precio_Unitario]]</f>
        <v>934800</v>
      </c>
      <c r="K245" s="2">
        <f>Ventas[[#This Row],[Cantidad]]*Ventas[[#This Row],[Costo_Unitario]]</f>
        <v>606000</v>
      </c>
      <c r="L245" s="2">
        <f>Ventas[[#This Row],[Ventas_Totales]]-Ventas[[#This Row],[Costo_Total]]</f>
        <v>328800</v>
      </c>
    </row>
    <row r="246" spans="1:12">
      <c r="A246" t="s">
        <v>276</v>
      </c>
      <c r="B246" s="1">
        <v>45838</v>
      </c>
      <c r="C246" t="s">
        <v>10</v>
      </c>
      <c r="D246" t="s">
        <v>11</v>
      </c>
      <c r="E246">
        <v>7</v>
      </c>
      <c r="F246" s="2">
        <v>23000</v>
      </c>
      <c r="G246" s="2">
        <v>10400</v>
      </c>
      <c r="H246" t="s">
        <v>22</v>
      </c>
      <c r="I246" t="s">
        <v>13</v>
      </c>
      <c r="J246" s="2">
        <f>Ventas[[#This Row],[Cantidad]]*Ventas[[#This Row],[Precio_Unitario]]</f>
        <v>161000</v>
      </c>
      <c r="K246" s="2">
        <f>Ventas[[#This Row],[Cantidad]]*Ventas[[#This Row],[Costo_Unitario]]</f>
        <v>72800</v>
      </c>
      <c r="L246" s="2">
        <f>Ventas[[#This Row],[Ventas_Totales]]-Ventas[[#This Row],[Costo_Total]]</f>
        <v>88200</v>
      </c>
    </row>
    <row r="247" spans="1:12">
      <c r="A247" t="s">
        <v>277</v>
      </c>
      <c r="B247" s="1">
        <v>45839</v>
      </c>
      <c r="C247" t="s">
        <v>10</v>
      </c>
      <c r="D247" t="s">
        <v>11</v>
      </c>
      <c r="E247">
        <v>6</v>
      </c>
      <c r="F247" s="2">
        <v>22300</v>
      </c>
      <c r="G247" s="2">
        <v>10300</v>
      </c>
      <c r="H247" t="s">
        <v>25</v>
      </c>
      <c r="I247" t="s">
        <v>13</v>
      </c>
      <c r="J247" s="2">
        <f>Ventas[[#This Row],[Cantidad]]*Ventas[[#This Row],[Precio_Unitario]]</f>
        <v>133800</v>
      </c>
      <c r="K247" s="2">
        <f>Ventas[[#This Row],[Cantidad]]*Ventas[[#This Row],[Costo_Unitario]]</f>
        <v>61800</v>
      </c>
      <c r="L247" s="2">
        <f>Ventas[[#This Row],[Ventas_Totales]]-Ventas[[#This Row],[Costo_Total]]</f>
        <v>72000</v>
      </c>
    </row>
    <row r="248" spans="1:12">
      <c r="A248" t="s">
        <v>278</v>
      </c>
      <c r="B248" s="1">
        <v>45840</v>
      </c>
      <c r="C248" t="s">
        <v>47</v>
      </c>
      <c r="D248" t="s">
        <v>16</v>
      </c>
      <c r="E248">
        <v>5</v>
      </c>
      <c r="F248" s="2">
        <v>650400</v>
      </c>
      <c r="G248" s="2">
        <v>461700</v>
      </c>
      <c r="H248" t="s">
        <v>25</v>
      </c>
      <c r="I248" t="s">
        <v>26</v>
      </c>
      <c r="J248" s="2">
        <f>Ventas[[#This Row],[Cantidad]]*Ventas[[#This Row],[Precio_Unitario]]</f>
        <v>3252000</v>
      </c>
      <c r="K248" s="2">
        <f>Ventas[[#This Row],[Cantidad]]*Ventas[[#This Row],[Costo_Unitario]]</f>
        <v>2308500</v>
      </c>
      <c r="L248" s="2">
        <f>Ventas[[#This Row],[Ventas_Totales]]-Ventas[[#This Row],[Costo_Total]]</f>
        <v>943500</v>
      </c>
    </row>
    <row r="249" spans="1:12">
      <c r="A249" t="s">
        <v>279</v>
      </c>
      <c r="B249" s="1">
        <v>45841</v>
      </c>
      <c r="C249" t="s">
        <v>24</v>
      </c>
      <c r="D249" t="s">
        <v>11</v>
      </c>
      <c r="E249">
        <v>7</v>
      </c>
      <c r="F249" s="2">
        <v>44800</v>
      </c>
      <c r="G249" s="2">
        <v>27000</v>
      </c>
      <c r="H249" t="s">
        <v>22</v>
      </c>
      <c r="I249" t="s">
        <v>30</v>
      </c>
      <c r="J249" s="2">
        <f>Ventas[[#This Row],[Cantidad]]*Ventas[[#This Row],[Precio_Unitario]]</f>
        <v>313600</v>
      </c>
      <c r="K249" s="2">
        <f>Ventas[[#This Row],[Cantidad]]*Ventas[[#This Row],[Costo_Unitario]]</f>
        <v>189000</v>
      </c>
      <c r="L249" s="2">
        <f>Ventas[[#This Row],[Ventas_Totales]]-Ventas[[#This Row],[Costo_Total]]</f>
        <v>124600</v>
      </c>
    </row>
    <row r="250" spans="1:12">
      <c r="A250" t="s">
        <v>280</v>
      </c>
      <c r="B250" s="1">
        <v>45841</v>
      </c>
      <c r="C250" t="s">
        <v>10</v>
      </c>
      <c r="D250" t="s">
        <v>11</v>
      </c>
      <c r="E250">
        <v>6</v>
      </c>
      <c r="F250" s="2">
        <v>20500</v>
      </c>
      <c r="G250" s="2">
        <v>10400</v>
      </c>
      <c r="H250" t="s">
        <v>19</v>
      </c>
      <c r="I250" t="s">
        <v>13</v>
      </c>
      <c r="J250" s="2">
        <f>Ventas[[#This Row],[Cantidad]]*Ventas[[#This Row],[Precio_Unitario]]</f>
        <v>123000</v>
      </c>
      <c r="K250" s="2">
        <f>Ventas[[#This Row],[Cantidad]]*Ventas[[#This Row],[Costo_Unitario]]</f>
        <v>62400</v>
      </c>
      <c r="L250" s="2">
        <f>Ventas[[#This Row],[Ventas_Totales]]-Ventas[[#This Row],[Costo_Total]]</f>
        <v>60600</v>
      </c>
    </row>
    <row r="251" spans="1:12">
      <c r="A251" t="s">
        <v>281</v>
      </c>
      <c r="B251" s="1">
        <v>45841</v>
      </c>
      <c r="C251" t="s">
        <v>10</v>
      </c>
      <c r="D251" t="s">
        <v>11</v>
      </c>
      <c r="E251">
        <v>6</v>
      </c>
      <c r="F251" s="2">
        <v>22000</v>
      </c>
      <c r="G251" s="2">
        <v>10100</v>
      </c>
      <c r="H251" t="s">
        <v>19</v>
      </c>
      <c r="I251" t="s">
        <v>13</v>
      </c>
      <c r="J251" s="2">
        <f>Ventas[[#This Row],[Cantidad]]*Ventas[[#This Row],[Precio_Unitario]]</f>
        <v>132000</v>
      </c>
      <c r="K251" s="2">
        <f>Ventas[[#This Row],[Cantidad]]*Ventas[[#This Row],[Costo_Unitario]]</f>
        <v>60600</v>
      </c>
      <c r="L251" s="2">
        <f>Ventas[[#This Row],[Ventas_Totales]]-Ventas[[#This Row],[Costo_Total]]</f>
        <v>71400</v>
      </c>
    </row>
    <row r="252" spans="1:12">
      <c r="A252" t="s">
        <v>282</v>
      </c>
      <c r="B252" s="1">
        <v>45841</v>
      </c>
      <c r="C252" t="s">
        <v>24</v>
      </c>
      <c r="D252" t="s">
        <v>11</v>
      </c>
      <c r="E252">
        <v>5</v>
      </c>
      <c r="F252" s="2">
        <v>52800</v>
      </c>
      <c r="G252" s="2">
        <v>25400</v>
      </c>
      <c r="H252" t="s">
        <v>19</v>
      </c>
      <c r="I252" t="s">
        <v>13</v>
      </c>
      <c r="J252" s="2">
        <f>Ventas[[#This Row],[Cantidad]]*Ventas[[#This Row],[Precio_Unitario]]</f>
        <v>264000</v>
      </c>
      <c r="K252" s="2">
        <f>Ventas[[#This Row],[Cantidad]]*Ventas[[#This Row],[Costo_Unitario]]</f>
        <v>127000</v>
      </c>
      <c r="L252" s="2">
        <f>Ventas[[#This Row],[Ventas_Totales]]-Ventas[[#This Row],[Costo_Total]]</f>
        <v>137000</v>
      </c>
    </row>
    <row r="253" spans="1:12">
      <c r="A253" t="s">
        <v>283</v>
      </c>
      <c r="B253" s="1">
        <v>45842</v>
      </c>
      <c r="C253" t="s">
        <v>15</v>
      </c>
      <c r="D253" t="s">
        <v>16</v>
      </c>
      <c r="E253">
        <v>1</v>
      </c>
      <c r="F253" s="2">
        <v>286100</v>
      </c>
      <c r="G253" s="2">
        <v>224100</v>
      </c>
      <c r="H253" t="s">
        <v>25</v>
      </c>
      <c r="I253" t="s">
        <v>13</v>
      </c>
      <c r="J253" s="2">
        <f>Ventas[[#This Row],[Cantidad]]*Ventas[[#This Row],[Precio_Unitario]]</f>
        <v>286100</v>
      </c>
      <c r="K253" s="2">
        <f>Ventas[[#This Row],[Cantidad]]*Ventas[[#This Row],[Costo_Unitario]]</f>
        <v>224100</v>
      </c>
      <c r="L253" s="2">
        <f>Ventas[[#This Row],[Ventas_Totales]]-Ventas[[#This Row],[Costo_Total]]</f>
        <v>62000</v>
      </c>
    </row>
    <row r="254" spans="1:12">
      <c r="A254" t="s">
        <v>284</v>
      </c>
      <c r="B254" s="1">
        <v>45843</v>
      </c>
      <c r="C254" t="s">
        <v>33</v>
      </c>
      <c r="D254" t="s">
        <v>34</v>
      </c>
      <c r="E254">
        <v>7</v>
      </c>
      <c r="F254" s="2">
        <v>170000</v>
      </c>
      <c r="G254" s="2">
        <v>114000</v>
      </c>
      <c r="H254" t="s">
        <v>25</v>
      </c>
      <c r="I254" t="s">
        <v>64</v>
      </c>
      <c r="J254" s="2">
        <f>Ventas[[#This Row],[Cantidad]]*Ventas[[#This Row],[Precio_Unitario]]</f>
        <v>1190000</v>
      </c>
      <c r="K254" s="2">
        <f>Ventas[[#This Row],[Cantidad]]*Ventas[[#This Row],[Costo_Unitario]]</f>
        <v>798000</v>
      </c>
      <c r="L254" s="2">
        <f>Ventas[[#This Row],[Ventas_Totales]]-Ventas[[#This Row],[Costo_Total]]</f>
        <v>392000</v>
      </c>
    </row>
    <row r="255" spans="1:12">
      <c r="A255" t="s">
        <v>285</v>
      </c>
      <c r="B255" s="1">
        <v>45843</v>
      </c>
      <c r="C255" t="s">
        <v>24</v>
      </c>
      <c r="D255" t="s">
        <v>11</v>
      </c>
      <c r="E255">
        <v>5</v>
      </c>
      <c r="F255" s="2">
        <v>52500</v>
      </c>
      <c r="G255" s="2">
        <v>26700</v>
      </c>
      <c r="H255" t="s">
        <v>17</v>
      </c>
      <c r="I255" t="s">
        <v>30</v>
      </c>
      <c r="J255" s="2">
        <f>Ventas[[#This Row],[Cantidad]]*Ventas[[#This Row],[Precio_Unitario]]</f>
        <v>262500</v>
      </c>
      <c r="K255" s="2">
        <f>Ventas[[#This Row],[Cantidad]]*Ventas[[#This Row],[Costo_Unitario]]</f>
        <v>133500</v>
      </c>
      <c r="L255" s="2">
        <f>Ventas[[#This Row],[Ventas_Totales]]-Ventas[[#This Row],[Costo_Total]]</f>
        <v>129000</v>
      </c>
    </row>
    <row r="256" spans="1:12">
      <c r="A256" t="s">
        <v>286</v>
      </c>
      <c r="B256" s="1">
        <v>45843</v>
      </c>
      <c r="C256" t="s">
        <v>47</v>
      </c>
      <c r="D256" t="s">
        <v>16</v>
      </c>
      <c r="E256">
        <v>4</v>
      </c>
      <c r="F256" s="2">
        <v>674500</v>
      </c>
      <c r="G256" s="2">
        <v>463900</v>
      </c>
      <c r="H256" t="s">
        <v>25</v>
      </c>
      <c r="I256" t="s">
        <v>13</v>
      </c>
      <c r="J256" s="2">
        <f>Ventas[[#This Row],[Cantidad]]*Ventas[[#This Row],[Precio_Unitario]]</f>
        <v>2698000</v>
      </c>
      <c r="K256" s="2">
        <f>Ventas[[#This Row],[Cantidad]]*Ventas[[#This Row],[Costo_Unitario]]</f>
        <v>1855600</v>
      </c>
      <c r="L256" s="2">
        <f>Ventas[[#This Row],[Ventas_Totales]]-Ventas[[#This Row],[Costo_Total]]</f>
        <v>842400</v>
      </c>
    </row>
    <row r="257" spans="1:12">
      <c r="A257" t="s">
        <v>287</v>
      </c>
      <c r="B257" s="1">
        <v>45843</v>
      </c>
      <c r="C257" t="s">
        <v>55</v>
      </c>
      <c r="D257" t="s">
        <v>16</v>
      </c>
      <c r="E257">
        <v>6</v>
      </c>
      <c r="F257" s="2">
        <v>238300</v>
      </c>
      <c r="G257" s="2">
        <v>150000</v>
      </c>
      <c r="H257" t="s">
        <v>25</v>
      </c>
      <c r="I257" t="s">
        <v>30</v>
      </c>
      <c r="J257" s="2">
        <f>Ventas[[#This Row],[Cantidad]]*Ventas[[#This Row],[Precio_Unitario]]</f>
        <v>1429800</v>
      </c>
      <c r="K257" s="2">
        <f>Ventas[[#This Row],[Cantidad]]*Ventas[[#This Row],[Costo_Unitario]]</f>
        <v>900000</v>
      </c>
      <c r="L257" s="2">
        <f>Ventas[[#This Row],[Ventas_Totales]]-Ventas[[#This Row],[Costo_Total]]</f>
        <v>529800</v>
      </c>
    </row>
    <row r="258" spans="1:12">
      <c r="A258" t="s">
        <v>288</v>
      </c>
      <c r="B258" s="1">
        <v>45845</v>
      </c>
      <c r="C258" t="s">
        <v>15</v>
      </c>
      <c r="D258" t="s">
        <v>16</v>
      </c>
      <c r="E258">
        <v>2</v>
      </c>
      <c r="F258" s="2">
        <v>289100</v>
      </c>
      <c r="G258" s="2">
        <v>219100</v>
      </c>
      <c r="H258" t="s">
        <v>19</v>
      </c>
      <c r="I258" t="s">
        <v>13</v>
      </c>
      <c r="J258" s="2">
        <f>Ventas[[#This Row],[Cantidad]]*Ventas[[#This Row],[Precio_Unitario]]</f>
        <v>578200</v>
      </c>
      <c r="K258" s="2">
        <f>Ventas[[#This Row],[Cantidad]]*Ventas[[#This Row],[Costo_Unitario]]</f>
        <v>438200</v>
      </c>
      <c r="L258" s="2">
        <f>Ventas[[#This Row],[Ventas_Totales]]-Ventas[[#This Row],[Costo_Total]]</f>
        <v>140000</v>
      </c>
    </row>
    <row r="259" spans="1:12">
      <c r="A259" t="s">
        <v>289</v>
      </c>
      <c r="B259" s="1">
        <v>45845</v>
      </c>
      <c r="C259" t="s">
        <v>15</v>
      </c>
      <c r="D259" t="s">
        <v>16</v>
      </c>
      <c r="E259">
        <v>2</v>
      </c>
      <c r="F259" s="2">
        <v>312900</v>
      </c>
      <c r="G259" s="2">
        <v>232000</v>
      </c>
      <c r="H259" t="s">
        <v>12</v>
      </c>
      <c r="I259" t="s">
        <v>26</v>
      </c>
      <c r="J259" s="2">
        <f>Ventas[[#This Row],[Cantidad]]*Ventas[[#This Row],[Precio_Unitario]]</f>
        <v>625800</v>
      </c>
      <c r="K259" s="2">
        <f>Ventas[[#This Row],[Cantidad]]*Ventas[[#This Row],[Costo_Unitario]]</f>
        <v>464000</v>
      </c>
      <c r="L259" s="2">
        <f>Ventas[[#This Row],[Ventas_Totales]]-Ventas[[#This Row],[Costo_Total]]</f>
        <v>161800</v>
      </c>
    </row>
    <row r="260" spans="1:12">
      <c r="A260" t="s">
        <v>290</v>
      </c>
      <c r="B260" s="1">
        <v>45846</v>
      </c>
      <c r="C260" t="s">
        <v>24</v>
      </c>
      <c r="D260" t="s">
        <v>11</v>
      </c>
      <c r="E260">
        <v>2</v>
      </c>
      <c r="F260" s="2">
        <v>44800</v>
      </c>
      <c r="G260" s="2">
        <v>26200</v>
      </c>
      <c r="H260" t="s">
        <v>12</v>
      </c>
      <c r="I260" t="s">
        <v>13</v>
      </c>
      <c r="J260" s="2">
        <f>Ventas[[#This Row],[Cantidad]]*Ventas[[#This Row],[Precio_Unitario]]</f>
        <v>89600</v>
      </c>
      <c r="K260" s="2">
        <f>Ventas[[#This Row],[Cantidad]]*Ventas[[#This Row],[Costo_Unitario]]</f>
        <v>52400</v>
      </c>
      <c r="L260" s="2">
        <f>Ventas[[#This Row],[Ventas_Totales]]-Ventas[[#This Row],[Costo_Total]]</f>
        <v>37200</v>
      </c>
    </row>
    <row r="261" spans="1:12">
      <c r="A261" t="s">
        <v>291</v>
      </c>
      <c r="B261" s="1">
        <v>45846</v>
      </c>
      <c r="C261" t="s">
        <v>47</v>
      </c>
      <c r="D261" t="s">
        <v>16</v>
      </c>
      <c r="E261">
        <v>4</v>
      </c>
      <c r="F261" s="2">
        <v>619800</v>
      </c>
      <c r="G261" s="2">
        <v>462500</v>
      </c>
      <c r="H261" t="s">
        <v>19</v>
      </c>
      <c r="I261" t="s">
        <v>13</v>
      </c>
      <c r="J261" s="2">
        <f>Ventas[[#This Row],[Cantidad]]*Ventas[[#This Row],[Precio_Unitario]]</f>
        <v>2479200</v>
      </c>
      <c r="K261" s="2">
        <f>Ventas[[#This Row],[Cantidad]]*Ventas[[#This Row],[Costo_Unitario]]</f>
        <v>1850000</v>
      </c>
      <c r="L261" s="2">
        <f>Ventas[[#This Row],[Ventas_Totales]]-Ventas[[#This Row],[Costo_Total]]</f>
        <v>629200</v>
      </c>
    </row>
    <row r="262" spans="1:12">
      <c r="A262" t="s">
        <v>292</v>
      </c>
      <c r="B262" s="1">
        <v>45846</v>
      </c>
      <c r="C262" t="s">
        <v>55</v>
      </c>
      <c r="D262" t="s">
        <v>16</v>
      </c>
      <c r="E262">
        <v>7</v>
      </c>
      <c r="F262" s="2">
        <v>212900</v>
      </c>
      <c r="G262" s="2">
        <v>148700</v>
      </c>
      <c r="H262" t="s">
        <v>12</v>
      </c>
      <c r="I262" t="s">
        <v>13</v>
      </c>
      <c r="J262" s="2">
        <f>Ventas[[#This Row],[Cantidad]]*Ventas[[#This Row],[Precio_Unitario]]</f>
        <v>1490300</v>
      </c>
      <c r="K262" s="2">
        <f>Ventas[[#This Row],[Cantidad]]*Ventas[[#This Row],[Costo_Unitario]]</f>
        <v>1040900</v>
      </c>
      <c r="L262" s="2">
        <f>Ventas[[#This Row],[Ventas_Totales]]-Ventas[[#This Row],[Costo_Total]]</f>
        <v>449400</v>
      </c>
    </row>
    <row r="263" spans="1:12">
      <c r="A263" t="s">
        <v>293</v>
      </c>
      <c r="B263" s="1">
        <v>45847</v>
      </c>
      <c r="C263" t="s">
        <v>10</v>
      </c>
      <c r="D263" t="s">
        <v>11</v>
      </c>
      <c r="E263">
        <v>3</v>
      </c>
      <c r="F263" s="2">
        <v>23500</v>
      </c>
      <c r="G263" s="2">
        <v>10100</v>
      </c>
      <c r="H263" t="s">
        <v>17</v>
      </c>
      <c r="I263" t="s">
        <v>13</v>
      </c>
      <c r="J263" s="2">
        <f>Ventas[[#This Row],[Cantidad]]*Ventas[[#This Row],[Precio_Unitario]]</f>
        <v>70500</v>
      </c>
      <c r="K263" s="2">
        <f>Ventas[[#This Row],[Cantidad]]*Ventas[[#This Row],[Costo_Unitario]]</f>
        <v>30300</v>
      </c>
      <c r="L263" s="2">
        <f>Ventas[[#This Row],[Ventas_Totales]]-Ventas[[#This Row],[Costo_Total]]</f>
        <v>40200</v>
      </c>
    </row>
    <row r="264" spans="1:12">
      <c r="A264" t="s">
        <v>294</v>
      </c>
      <c r="B264" s="1">
        <v>45847</v>
      </c>
      <c r="C264" t="s">
        <v>10</v>
      </c>
      <c r="D264" t="s">
        <v>11</v>
      </c>
      <c r="E264">
        <v>7</v>
      </c>
      <c r="F264" s="2">
        <v>22100</v>
      </c>
      <c r="G264" s="2">
        <v>9700</v>
      </c>
      <c r="H264" t="s">
        <v>25</v>
      </c>
      <c r="I264" t="s">
        <v>64</v>
      </c>
      <c r="J264" s="2">
        <f>Ventas[[#This Row],[Cantidad]]*Ventas[[#This Row],[Precio_Unitario]]</f>
        <v>154700</v>
      </c>
      <c r="K264" s="2">
        <f>Ventas[[#This Row],[Cantidad]]*Ventas[[#This Row],[Costo_Unitario]]</f>
        <v>67900</v>
      </c>
      <c r="L264" s="2">
        <f>Ventas[[#This Row],[Ventas_Totales]]-Ventas[[#This Row],[Costo_Total]]</f>
        <v>86800</v>
      </c>
    </row>
    <row r="265" spans="1:12">
      <c r="A265" t="s">
        <v>295</v>
      </c>
      <c r="B265" s="1">
        <v>45849</v>
      </c>
      <c r="C265" t="s">
        <v>55</v>
      </c>
      <c r="D265" t="s">
        <v>16</v>
      </c>
      <c r="E265">
        <v>2</v>
      </c>
      <c r="F265" s="2">
        <v>223000</v>
      </c>
      <c r="G265" s="2">
        <v>149500</v>
      </c>
      <c r="H265" t="s">
        <v>25</v>
      </c>
      <c r="I265" t="s">
        <v>26</v>
      </c>
      <c r="J265" s="2">
        <f>Ventas[[#This Row],[Cantidad]]*Ventas[[#This Row],[Precio_Unitario]]</f>
        <v>446000</v>
      </c>
      <c r="K265" s="2">
        <f>Ventas[[#This Row],[Cantidad]]*Ventas[[#This Row],[Costo_Unitario]]</f>
        <v>299000</v>
      </c>
      <c r="L265" s="2">
        <f>Ventas[[#This Row],[Ventas_Totales]]-Ventas[[#This Row],[Costo_Total]]</f>
        <v>147000</v>
      </c>
    </row>
    <row r="266" spans="1:12">
      <c r="A266" t="s">
        <v>296</v>
      </c>
      <c r="B266" s="1">
        <v>45849</v>
      </c>
      <c r="C266" t="s">
        <v>55</v>
      </c>
      <c r="D266" t="s">
        <v>16</v>
      </c>
      <c r="E266">
        <v>2</v>
      </c>
      <c r="F266" s="2">
        <v>213300</v>
      </c>
      <c r="G266" s="2">
        <v>144800</v>
      </c>
      <c r="H266" t="s">
        <v>22</v>
      </c>
      <c r="I266" t="s">
        <v>13</v>
      </c>
      <c r="J266" s="2">
        <f>Ventas[[#This Row],[Cantidad]]*Ventas[[#This Row],[Precio_Unitario]]</f>
        <v>426600</v>
      </c>
      <c r="K266" s="2">
        <f>Ventas[[#This Row],[Cantidad]]*Ventas[[#This Row],[Costo_Unitario]]</f>
        <v>289600</v>
      </c>
      <c r="L266" s="2">
        <f>Ventas[[#This Row],[Ventas_Totales]]-Ventas[[#This Row],[Costo_Total]]</f>
        <v>137000</v>
      </c>
    </row>
    <row r="267" spans="1:12">
      <c r="A267" t="s">
        <v>297</v>
      </c>
      <c r="B267" s="1">
        <v>45849</v>
      </c>
      <c r="C267" t="s">
        <v>15</v>
      </c>
      <c r="D267" t="s">
        <v>16</v>
      </c>
      <c r="E267">
        <v>2</v>
      </c>
      <c r="F267" s="2">
        <v>328400</v>
      </c>
      <c r="G267" s="2">
        <v>229800</v>
      </c>
      <c r="H267" t="s">
        <v>22</v>
      </c>
      <c r="I267" t="s">
        <v>13</v>
      </c>
      <c r="J267" s="2">
        <f>Ventas[[#This Row],[Cantidad]]*Ventas[[#This Row],[Precio_Unitario]]</f>
        <v>656800</v>
      </c>
      <c r="K267" s="2">
        <f>Ventas[[#This Row],[Cantidad]]*Ventas[[#This Row],[Costo_Unitario]]</f>
        <v>459600</v>
      </c>
      <c r="L267" s="2">
        <f>Ventas[[#This Row],[Ventas_Totales]]-Ventas[[#This Row],[Costo_Total]]</f>
        <v>197200</v>
      </c>
    </row>
    <row r="268" spans="1:12">
      <c r="A268" t="s">
        <v>298</v>
      </c>
      <c r="B268" s="1">
        <v>45851</v>
      </c>
      <c r="C268" t="s">
        <v>24</v>
      </c>
      <c r="D268" t="s">
        <v>11</v>
      </c>
      <c r="E268">
        <v>4</v>
      </c>
      <c r="F268" s="2">
        <v>44700</v>
      </c>
      <c r="G268" s="2">
        <v>26800</v>
      </c>
      <c r="H268" t="s">
        <v>25</v>
      </c>
      <c r="I268" t="s">
        <v>13</v>
      </c>
      <c r="J268" s="2">
        <f>Ventas[[#This Row],[Cantidad]]*Ventas[[#This Row],[Precio_Unitario]]</f>
        <v>178800</v>
      </c>
      <c r="K268" s="2">
        <f>Ventas[[#This Row],[Cantidad]]*Ventas[[#This Row],[Costo_Unitario]]</f>
        <v>107200</v>
      </c>
      <c r="L268" s="2">
        <f>Ventas[[#This Row],[Ventas_Totales]]-Ventas[[#This Row],[Costo_Total]]</f>
        <v>71600</v>
      </c>
    </row>
    <row r="269" spans="1:12">
      <c r="A269" t="s">
        <v>299</v>
      </c>
      <c r="B269" s="1">
        <v>45851</v>
      </c>
      <c r="C269" t="s">
        <v>33</v>
      </c>
      <c r="D269" t="s">
        <v>34</v>
      </c>
      <c r="E269">
        <v>2</v>
      </c>
      <c r="F269" s="2">
        <v>186300</v>
      </c>
      <c r="G269" s="2">
        <v>116800</v>
      </c>
      <c r="H269" t="s">
        <v>12</v>
      </c>
      <c r="I269" t="s">
        <v>13</v>
      </c>
      <c r="J269" s="2">
        <f>Ventas[[#This Row],[Cantidad]]*Ventas[[#This Row],[Precio_Unitario]]</f>
        <v>372600</v>
      </c>
      <c r="K269" s="2">
        <f>Ventas[[#This Row],[Cantidad]]*Ventas[[#This Row],[Costo_Unitario]]</f>
        <v>233600</v>
      </c>
      <c r="L269" s="2">
        <f>Ventas[[#This Row],[Ventas_Totales]]-Ventas[[#This Row],[Costo_Total]]</f>
        <v>139000</v>
      </c>
    </row>
    <row r="270" spans="1:12">
      <c r="A270" t="s">
        <v>300</v>
      </c>
      <c r="B270" s="1">
        <v>45851</v>
      </c>
      <c r="C270" t="s">
        <v>10</v>
      </c>
      <c r="D270" t="s">
        <v>11</v>
      </c>
      <c r="E270">
        <v>7</v>
      </c>
      <c r="F270" s="2">
        <v>20400</v>
      </c>
      <c r="G270" s="2">
        <v>9800</v>
      </c>
      <c r="H270" t="s">
        <v>22</v>
      </c>
      <c r="I270" t="s">
        <v>72</v>
      </c>
      <c r="J270" s="2">
        <f>Ventas[[#This Row],[Cantidad]]*Ventas[[#This Row],[Precio_Unitario]]</f>
        <v>142800</v>
      </c>
      <c r="K270" s="2">
        <f>Ventas[[#This Row],[Cantidad]]*Ventas[[#This Row],[Costo_Unitario]]</f>
        <v>68600</v>
      </c>
      <c r="L270" s="2">
        <f>Ventas[[#This Row],[Ventas_Totales]]-Ventas[[#This Row],[Costo_Total]]</f>
        <v>74200</v>
      </c>
    </row>
    <row r="271" spans="1:12">
      <c r="A271" t="s">
        <v>301</v>
      </c>
      <c r="B271" s="1">
        <v>45851</v>
      </c>
      <c r="C271" t="s">
        <v>55</v>
      </c>
      <c r="D271" t="s">
        <v>16</v>
      </c>
      <c r="E271">
        <v>4</v>
      </c>
      <c r="F271" s="2">
        <v>223400</v>
      </c>
      <c r="G271" s="2">
        <v>155700</v>
      </c>
      <c r="H271" t="s">
        <v>19</v>
      </c>
      <c r="I271" t="s">
        <v>26</v>
      </c>
      <c r="J271" s="2">
        <f>Ventas[[#This Row],[Cantidad]]*Ventas[[#This Row],[Precio_Unitario]]</f>
        <v>893600</v>
      </c>
      <c r="K271" s="2">
        <f>Ventas[[#This Row],[Cantidad]]*Ventas[[#This Row],[Costo_Unitario]]</f>
        <v>622800</v>
      </c>
      <c r="L271" s="2">
        <f>Ventas[[#This Row],[Ventas_Totales]]-Ventas[[#This Row],[Costo_Total]]</f>
        <v>270800</v>
      </c>
    </row>
    <row r="272" spans="1:12">
      <c r="A272" t="s">
        <v>302</v>
      </c>
      <c r="B272" s="1">
        <v>45851</v>
      </c>
      <c r="C272" t="s">
        <v>39</v>
      </c>
      <c r="D272" t="s">
        <v>11</v>
      </c>
      <c r="E272">
        <v>3</v>
      </c>
      <c r="F272" s="2">
        <v>37200</v>
      </c>
      <c r="G272" s="2">
        <v>18200</v>
      </c>
      <c r="H272" t="s">
        <v>12</v>
      </c>
      <c r="I272" t="s">
        <v>30</v>
      </c>
      <c r="J272" s="2">
        <f>Ventas[[#This Row],[Cantidad]]*Ventas[[#This Row],[Precio_Unitario]]</f>
        <v>111600</v>
      </c>
      <c r="K272" s="2">
        <f>Ventas[[#This Row],[Cantidad]]*Ventas[[#This Row],[Costo_Unitario]]</f>
        <v>54600</v>
      </c>
      <c r="L272" s="2">
        <f>Ventas[[#This Row],[Ventas_Totales]]-Ventas[[#This Row],[Costo_Total]]</f>
        <v>57000</v>
      </c>
    </row>
    <row r="273" spans="1:12">
      <c r="A273" t="s">
        <v>303</v>
      </c>
      <c r="B273" s="1">
        <v>45852</v>
      </c>
      <c r="C273" t="s">
        <v>15</v>
      </c>
      <c r="D273" t="s">
        <v>16</v>
      </c>
      <c r="E273">
        <v>3</v>
      </c>
      <c r="F273" s="2">
        <v>314600</v>
      </c>
      <c r="G273" s="2">
        <v>217200</v>
      </c>
      <c r="H273" t="s">
        <v>17</v>
      </c>
      <c r="I273" t="s">
        <v>30</v>
      </c>
      <c r="J273" s="2">
        <f>Ventas[[#This Row],[Cantidad]]*Ventas[[#This Row],[Precio_Unitario]]</f>
        <v>943800</v>
      </c>
      <c r="K273" s="2">
        <f>Ventas[[#This Row],[Cantidad]]*Ventas[[#This Row],[Costo_Unitario]]</f>
        <v>651600</v>
      </c>
      <c r="L273" s="2">
        <f>Ventas[[#This Row],[Ventas_Totales]]-Ventas[[#This Row],[Costo_Total]]</f>
        <v>292200</v>
      </c>
    </row>
    <row r="274" spans="1:12">
      <c r="A274" t="s">
        <v>304</v>
      </c>
      <c r="B274" s="1">
        <v>45852</v>
      </c>
      <c r="C274" t="s">
        <v>21</v>
      </c>
      <c r="D274" t="s">
        <v>11</v>
      </c>
      <c r="E274">
        <v>3</v>
      </c>
      <c r="F274" s="2">
        <v>44400</v>
      </c>
      <c r="G274" s="2">
        <v>23600</v>
      </c>
      <c r="H274" t="s">
        <v>17</v>
      </c>
      <c r="I274" t="s">
        <v>13</v>
      </c>
      <c r="J274" s="2">
        <f>Ventas[[#This Row],[Cantidad]]*Ventas[[#This Row],[Precio_Unitario]]</f>
        <v>133200</v>
      </c>
      <c r="K274" s="2">
        <f>Ventas[[#This Row],[Cantidad]]*Ventas[[#This Row],[Costo_Unitario]]</f>
        <v>70800</v>
      </c>
      <c r="L274" s="2">
        <f>Ventas[[#This Row],[Ventas_Totales]]-Ventas[[#This Row],[Costo_Total]]</f>
        <v>62400</v>
      </c>
    </row>
    <row r="275" spans="1:12">
      <c r="A275" t="s">
        <v>305</v>
      </c>
      <c r="B275" s="1">
        <v>45854</v>
      </c>
      <c r="C275" t="s">
        <v>24</v>
      </c>
      <c r="D275" t="s">
        <v>11</v>
      </c>
      <c r="E275">
        <v>2</v>
      </c>
      <c r="F275" s="2">
        <v>47400</v>
      </c>
      <c r="G275" s="2">
        <v>26100</v>
      </c>
      <c r="H275" t="s">
        <v>17</v>
      </c>
      <c r="I275" t="s">
        <v>13</v>
      </c>
      <c r="J275" s="2">
        <f>Ventas[[#This Row],[Cantidad]]*Ventas[[#This Row],[Precio_Unitario]]</f>
        <v>94800</v>
      </c>
      <c r="K275" s="2">
        <f>Ventas[[#This Row],[Cantidad]]*Ventas[[#This Row],[Costo_Unitario]]</f>
        <v>52200</v>
      </c>
      <c r="L275" s="2">
        <f>Ventas[[#This Row],[Ventas_Totales]]-Ventas[[#This Row],[Costo_Total]]</f>
        <v>42600</v>
      </c>
    </row>
    <row r="276" spans="1:12">
      <c r="A276" t="s">
        <v>306</v>
      </c>
      <c r="B276" s="1">
        <v>45855</v>
      </c>
      <c r="C276" t="s">
        <v>39</v>
      </c>
      <c r="D276" t="s">
        <v>11</v>
      </c>
      <c r="E276">
        <v>1</v>
      </c>
      <c r="F276" s="2">
        <v>38100</v>
      </c>
      <c r="G276" s="2">
        <v>18000</v>
      </c>
      <c r="H276" t="s">
        <v>22</v>
      </c>
      <c r="I276" t="s">
        <v>13</v>
      </c>
      <c r="J276" s="2">
        <f>Ventas[[#This Row],[Cantidad]]*Ventas[[#This Row],[Precio_Unitario]]</f>
        <v>38100</v>
      </c>
      <c r="K276" s="2">
        <f>Ventas[[#This Row],[Cantidad]]*Ventas[[#This Row],[Costo_Unitario]]</f>
        <v>18000</v>
      </c>
      <c r="L276" s="2">
        <f>Ventas[[#This Row],[Ventas_Totales]]-Ventas[[#This Row],[Costo_Total]]</f>
        <v>20100</v>
      </c>
    </row>
    <row r="277" spans="1:12">
      <c r="A277" t="s">
        <v>307</v>
      </c>
      <c r="B277" s="1">
        <v>45855</v>
      </c>
      <c r="C277" t="s">
        <v>47</v>
      </c>
      <c r="D277" t="s">
        <v>16</v>
      </c>
      <c r="E277">
        <v>4</v>
      </c>
      <c r="F277" s="2">
        <v>612800</v>
      </c>
      <c r="G277" s="2">
        <v>479500</v>
      </c>
      <c r="H277" t="s">
        <v>12</v>
      </c>
      <c r="I277" t="s">
        <v>13</v>
      </c>
      <c r="J277" s="2">
        <f>Ventas[[#This Row],[Cantidad]]*Ventas[[#This Row],[Precio_Unitario]]</f>
        <v>2451200</v>
      </c>
      <c r="K277" s="2">
        <f>Ventas[[#This Row],[Cantidad]]*Ventas[[#This Row],[Costo_Unitario]]</f>
        <v>1918000</v>
      </c>
      <c r="L277" s="2">
        <f>Ventas[[#This Row],[Ventas_Totales]]-Ventas[[#This Row],[Costo_Total]]</f>
        <v>533200</v>
      </c>
    </row>
    <row r="278" spans="1:12">
      <c r="A278" t="s">
        <v>308</v>
      </c>
      <c r="B278" s="1">
        <v>45858</v>
      </c>
      <c r="C278" t="s">
        <v>10</v>
      </c>
      <c r="D278" t="s">
        <v>11</v>
      </c>
      <c r="E278">
        <v>3</v>
      </c>
      <c r="F278" s="2">
        <v>20300</v>
      </c>
      <c r="G278" s="2">
        <v>10100</v>
      </c>
      <c r="H278" t="s">
        <v>25</v>
      </c>
      <c r="I278" t="s">
        <v>30</v>
      </c>
      <c r="J278" s="2">
        <f>Ventas[[#This Row],[Cantidad]]*Ventas[[#This Row],[Precio_Unitario]]</f>
        <v>60900</v>
      </c>
      <c r="K278" s="2">
        <f>Ventas[[#This Row],[Cantidad]]*Ventas[[#This Row],[Costo_Unitario]]</f>
        <v>30300</v>
      </c>
      <c r="L278" s="2">
        <f>Ventas[[#This Row],[Ventas_Totales]]-Ventas[[#This Row],[Costo_Total]]</f>
        <v>30600</v>
      </c>
    </row>
    <row r="279" spans="1:12">
      <c r="A279" t="s">
        <v>309</v>
      </c>
      <c r="B279" s="1">
        <v>45859</v>
      </c>
      <c r="C279" t="s">
        <v>10</v>
      </c>
      <c r="D279" t="s">
        <v>11</v>
      </c>
      <c r="E279">
        <v>4</v>
      </c>
      <c r="F279" s="2">
        <v>23600</v>
      </c>
      <c r="G279" s="2">
        <v>9700</v>
      </c>
      <c r="H279" t="s">
        <v>19</v>
      </c>
      <c r="I279" t="s">
        <v>64</v>
      </c>
      <c r="J279" s="2">
        <f>Ventas[[#This Row],[Cantidad]]*Ventas[[#This Row],[Precio_Unitario]]</f>
        <v>94400</v>
      </c>
      <c r="K279" s="2">
        <f>Ventas[[#This Row],[Cantidad]]*Ventas[[#This Row],[Costo_Unitario]]</f>
        <v>38800</v>
      </c>
      <c r="L279" s="2">
        <f>Ventas[[#This Row],[Ventas_Totales]]-Ventas[[#This Row],[Costo_Total]]</f>
        <v>55600</v>
      </c>
    </row>
    <row r="280" spans="1:12">
      <c r="A280" t="s">
        <v>310</v>
      </c>
      <c r="B280" s="1">
        <v>45859</v>
      </c>
      <c r="C280" t="s">
        <v>39</v>
      </c>
      <c r="D280" t="s">
        <v>11</v>
      </c>
      <c r="E280">
        <v>6</v>
      </c>
      <c r="F280" s="2">
        <v>35800</v>
      </c>
      <c r="G280" s="2">
        <v>18300</v>
      </c>
      <c r="H280" t="s">
        <v>12</v>
      </c>
      <c r="I280" t="s">
        <v>13</v>
      </c>
      <c r="J280" s="2">
        <f>Ventas[[#This Row],[Cantidad]]*Ventas[[#This Row],[Precio_Unitario]]</f>
        <v>214800</v>
      </c>
      <c r="K280" s="2">
        <f>Ventas[[#This Row],[Cantidad]]*Ventas[[#This Row],[Costo_Unitario]]</f>
        <v>109800</v>
      </c>
      <c r="L280" s="2">
        <f>Ventas[[#This Row],[Ventas_Totales]]-Ventas[[#This Row],[Costo_Total]]</f>
        <v>105000</v>
      </c>
    </row>
    <row r="281" spans="1:12">
      <c r="A281" t="s">
        <v>311</v>
      </c>
      <c r="B281" s="1">
        <v>45860</v>
      </c>
      <c r="C281" t="s">
        <v>24</v>
      </c>
      <c r="D281" t="s">
        <v>11</v>
      </c>
      <c r="E281">
        <v>5</v>
      </c>
      <c r="F281" s="2">
        <v>45000</v>
      </c>
      <c r="G281" s="2">
        <v>26100</v>
      </c>
      <c r="H281" t="s">
        <v>22</v>
      </c>
      <c r="I281" t="s">
        <v>30</v>
      </c>
      <c r="J281" s="2">
        <f>Ventas[[#This Row],[Cantidad]]*Ventas[[#This Row],[Precio_Unitario]]</f>
        <v>225000</v>
      </c>
      <c r="K281" s="2">
        <f>Ventas[[#This Row],[Cantidad]]*Ventas[[#This Row],[Costo_Unitario]]</f>
        <v>130500</v>
      </c>
      <c r="L281" s="2">
        <f>Ventas[[#This Row],[Ventas_Totales]]-Ventas[[#This Row],[Costo_Total]]</f>
        <v>94500</v>
      </c>
    </row>
    <row r="282" spans="1:12">
      <c r="A282" t="s">
        <v>312</v>
      </c>
      <c r="B282" s="1">
        <v>45860</v>
      </c>
      <c r="C282" t="s">
        <v>55</v>
      </c>
      <c r="D282" t="s">
        <v>16</v>
      </c>
      <c r="E282">
        <v>5</v>
      </c>
      <c r="F282" s="2">
        <v>231100</v>
      </c>
      <c r="G282" s="2">
        <v>151200</v>
      </c>
      <c r="H282" t="s">
        <v>12</v>
      </c>
      <c r="I282" t="s">
        <v>26</v>
      </c>
      <c r="J282" s="2">
        <f>Ventas[[#This Row],[Cantidad]]*Ventas[[#This Row],[Precio_Unitario]]</f>
        <v>1155500</v>
      </c>
      <c r="K282" s="2">
        <f>Ventas[[#This Row],[Cantidad]]*Ventas[[#This Row],[Costo_Unitario]]</f>
        <v>756000</v>
      </c>
      <c r="L282" s="2">
        <f>Ventas[[#This Row],[Ventas_Totales]]-Ventas[[#This Row],[Costo_Total]]</f>
        <v>399500</v>
      </c>
    </row>
    <row r="283" spans="1:12">
      <c r="A283" t="s">
        <v>313</v>
      </c>
      <c r="B283" s="1">
        <v>45860</v>
      </c>
      <c r="C283" t="s">
        <v>47</v>
      </c>
      <c r="D283" t="s">
        <v>16</v>
      </c>
      <c r="E283">
        <v>6</v>
      </c>
      <c r="F283" s="2">
        <v>620600</v>
      </c>
      <c r="G283" s="2">
        <v>465200</v>
      </c>
      <c r="H283" t="s">
        <v>22</v>
      </c>
      <c r="I283" t="s">
        <v>64</v>
      </c>
      <c r="J283" s="2">
        <f>Ventas[[#This Row],[Cantidad]]*Ventas[[#This Row],[Precio_Unitario]]</f>
        <v>3723600</v>
      </c>
      <c r="K283" s="2">
        <f>Ventas[[#This Row],[Cantidad]]*Ventas[[#This Row],[Costo_Unitario]]</f>
        <v>2791200</v>
      </c>
      <c r="L283" s="2">
        <f>Ventas[[#This Row],[Ventas_Totales]]-Ventas[[#This Row],[Costo_Total]]</f>
        <v>932400</v>
      </c>
    </row>
    <row r="284" spans="1:12">
      <c r="A284" t="s">
        <v>314</v>
      </c>
      <c r="B284" s="1">
        <v>45861</v>
      </c>
      <c r="C284" t="s">
        <v>55</v>
      </c>
      <c r="D284" t="s">
        <v>16</v>
      </c>
      <c r="E284">
        <v>3</v>
      </c>
      <c r="F284" s="2">
        <v>237400</v>
      </c>
      <c r="G284" s="2">
        <v>149900</v>
      </c>
      <c r="H284" t="s">
        <v>12</v>
      </c>
      <c r="I284" t="s">
        <v>72</v>
      </c>
      <c r="J284" s="2">
        <f>Ventas[[#This Row],[Cantidad]]*Ventas[[#This Row],[Precio_Unitario]]</f>
        <v>712200</v>
      </c>
      <c r="K284" s="2">
        <f>Ventas[[#This Row],[Cantidad]]*Ventas[[#This Row],[Costo_Unitario]]</f>
        <v>449700</v>
      </c>
      <c r="L284" s="2">
        <f>Ventas[[#This Row],[Ventas_Totales]]-Ventas[[#This Row],[Costo_Total]]</f>
        <v>262500</v>
      </c>
    </row>
    <row r="285" spans="1:12">
      <c r="A285" t="s">
        <v>315</v>
      </c>
      <c r="B285" s="1">
        <v>45861</v>
      </c>
      <c r="C285" t="s">
        <v>15</v>
      </c>
      <c r="D285" t="s">
        <v>16</v>
      </c>
      <c r="E285">
        <v>3</v>
      </c>
      <c r="F285" s="2">
        <v>317500</v>
      </c>
      <c r="G285" s="2">
        <v>218500</v>
      </c>
      <c r="H285" t="s">
        <v>17</v>
      </c>
      <c r="I285" t="s">
        <v>30</v>
      </c>
      <c r="J285" s="2">
        <f>Ventas[[#This Row],[Cantidad]]*Ventas[[#This Row],[Precio_Unitario]]</f>
        <v>952500</v>
      </c>
      <c r="K285" s="2">
        <f>Ventas[[#This Row],[Cantidad]]*Ventas[[#This Row],[Costo_Unitario]]</f>
        <v>655500</v>
      </c>
      <c r="L285" s="2">
        <f>Ventas[[#This Row],[Ventas_Totales]]-Ventas[[#This Row],[Costo_Total]]</f>
        <v>297000</v>
      </c>
    </row>
    <row r="286" spans="1:12">
      <c r="A286" t="s">
        <v>316</v>
      </c>
      <c r="B286" s="1">
        <v>45862</v>
      </c>
      <c r="C286" t="s">
        <v>37</v>
      </c>
      <c r="D286" t="s">
        <v>34</v>
      </c>
      <c r="E286">
        <v>7</v>
      </c>
      <c r="F286" s="2">
        <v>265300</v>
      </c>
      <c r="G286" s="2">
        <v>178500</v>
      </c>
      <c r="H286" t="s">
        <v>12</v>
      </c>
      <c r="I286" t="s">
        <v>72</v>
      </c>
      <c r="J286" s="2">
        <f>Ventas[[#This Row],[Cantidad]]*Ventas[[#This Row],[Precio_Unitario]]</f>
        <v>1857100</v>
      </c>
      <c r="K286" s="2">
        <f>Ventas[[#This Row],[Cantidad]]*Ventas[[#This Row],[Costo_Unitario]]</f>
        <v>1249500</v>
      </c>
      <c r="L286" s="2">
        <f>Ventas[[#This Row],[Ventas_Totales]]-Ventas[[#This Row],[Costo_Total]]</f>
        <v>607600</v>
      </c>
    </row>
    <row r="287" spans="1:12">
      <c r="A287" t="s">
        <v>317</v>
      </c>
      <c r="B287" s="1">
        <v>45862</v>
      </c>
      <c r="C287" t="s">
        <v>66</v>
      </c>
      <c r="D287" t="s">
        <v>34</v>
      </c>
      <c r="E287">
        <v>5</v>
      </c>
      <c r="F287" s="2">
        <v>28600</v>
      </c>
      <c r="G287" s="2">
        <v>13900</v>
      </c>
      <c r="H287" t="s">
        <v>19</v>
      </c>
      <c r="I287" t="s">
        <v>13</v>
      </c>
      <c r="J287" s="2">
        <f>Ventas[[#This Row],[Cantidad]]*Ventas[[#This Row],[Precio_Unitario]]</f>
        <v>143000</v>
      </c>
      <c r="K287" s="2">
        <f>Ventas[[#This Row],[Cantidad]]*Ventas[[#This Row],[Costo_Unitario]]</f>
        <v>69500</v>
      </c>
      <c r="L287" s="2">
        <f>Ventas[[#This Row],[Ventas_Totales]]-Ventas[[#This Row],[Costo_Total]]</f>
        <v>73500</v>
      </c>
    </row>
    <row r="288" spans="1:12">
      <c r="A288" t="s">
        <v>318</v>
      </c>
      <c r="B288" s="1">
        <v>45863</v>
      </c>
      <c r="C288" t="s">
        <v>37</v>
      </c>
      <c r="D288" t="s">
        <v>34</v>
      </c>
      <c r="E288">
        <v>7</v>
      </c>
      <c r="F288" s="2">
        <v>262300</v>
      </c>
      <c r="G288" s="2">
        <v>170800</v>
      </c>
      <c r="H288" t="s">
        <v>25</v>
      </c>
      <c r="I288" t="s">
        <v>13</v>
      </c>
      <c r="J288" s="2">
        <f>Ventas[[#This Row],[Cantidad]]*Ventas[[#This Row],[Precio_Unitario]]</f>
        <v>1836100</v>
      </c>
      <c r="K288" s="2">
        <f>Ventas[[#This Row],[Cantidad]]*Ventas[[#This Row],[Costo_Unitario]]</f>
        <v>1195600</v>
      </c>
      <c r="L288" s="2">
        <f>Ventas[[#This Row],[Ventas_Totales]]-Ventas[[#This Row],[Costo_Total]]</f>
        <v>640500</v>
      </c>
    </row>
    <row r="289" spans="1:12">
      <c r="A289" t="s">
        <v>319</v>
      </c>
      <c r="B289" s="1">
        <v>45864</v>
      </c>
      <c r="C289" t="s">
        <v>47</v>
      </c>
      <c r="D289" t="s">
        <v>16</v>
      </c>
      <c r="E289">
        <v>7</v>
      </c>
      <c r="F289" s="2">
        <v>643100</v>
      </c>
      <c r="G289" s="2">
        <v>463900</v>
      </c>
      <c r="H289" t="s">
        <v>17</v>
      </c>
      <c r="I289" t="s">
        <v>26</v>
      </c>
      <c r="J289" s="2">
        <f>Ventas[[#This Row],[Cantidad]]*Ventas[[#This Row],[Precio_Unitario]]</f>
        <v>4501700</v>
      </c>
      <c r="K289" s="2">
        <f>Ventas[[#This Row],[Cantidad]]*Ventas[[#This Row],[Costo_Unitario]]</f>
        <v>3247300</v>
      </c>
      <c r="L289" s="2">
        <f>Ventas[[#This Row],[Ventas_Totales]]-Ventas[[#This Row],[Costo_Total]]</f>
        <v>1254400</v>
      </c>
    </row>
    <row r="290" spans="1:12">
      <c r="A290" t="s">
        <v>320</v>
      </c>
      <c r="B290" s="1">
        <v>45864</v>
      </c>
      <c r="C290" t="s">
        <v>55</v>
      </c>
      <c r="D290" t="s">
        <v>16</v>
      </c>
      <c r="E290">
        <v>7</v>
      </c>
      <c r="F290" s="2">
        <v>220100</v>
      </c>
      <c r="G290" s="2">
        <v>148900</v>
      </c>
      <c r="H290" t="s">
        <v>25</v>
      </c>
      <c r="I290" t="s">
        <v>30</v>
      </c>
      <c r="J290" s="2">
        <f>Ventas[[#This Row],[Cantidad]]*Ventas[[#This Row],[Precio_Unitario]]</f>
        <v>1540700</v>
      </c>
      <c r="K290" s="2">
        <f>Ventas[[#This Row],[Cantidad]]*Ventas[[#This Row],[Costo_Unitario]]</f>
        <v>1042300</v>
      </c>
      <c r="L290" s="2">
        <f>Ventas[[#This Row],[Ventas_Totales]]-Ventas[[#This Row],[Costo_Total]]</f>
        <v>498400</v>
      </c>
    </row>
    <row r="291" spans="1:12">
      <c r="A291" t="s">
        <v>321</v>
      </c>
      <c r="B291" s="1">
        <v>45866</v>
      </c>
      <c r="C291" t="s">
        <v>55</v>
      </c>
      <c r="D291" t="s">
        <v>16</v>
      </c>
      <c r="E291">
        <v>7</v>
      </c>
      <c r="F291" s="2">
        <v>224800</v>
      </c>
      <c r="G291" s="2">
        <v>145300</v>
      </c>
      <c r="H291" t="s">
        <v>19</v>
      </c>
      <c r="I291" t="s">
        <v>30</v>
      </c>
      <c r="J291" s="2">
        <f>Ventas[[#This Row],[Cantidad]]*Ventas[[#This Row],[Precio_Unitario]]</f>
        <v>1573600</v>
      </c>
      <c r="K291" s="2">
        <f>Ventas[[#This Row],[Cantidad]]*Ventas[[#This Row],[Costo_Unitario]]</f>
        <v>1017100</v>
      </c>
      <c r="L291" s="2">
        <f>Ventas[[#This Row],[Ventas_Totales]]-Ventas[[#This Row],[Costo_Total]]</f>
        <v>556500</v>
      </c>
    </row>
    <row r="292" spans="1:12">
      <c r="A292" t="s">
        <v>322</v>
      </c>
      <c r="B292" s="1">
        <v>45867</v>
      </c>
      <c r="C292" t="s">
        <v>24</v>
      </c>
      <c r="D292" t="s">
        <v>11</v>
      </c>
      <c r="E292">
        <v>6</v>
      </c>
      <c r="F292" s="2">
        <v>52400</v>
      </c>
      <c r="G292" s="2">
        <v>26200</v>
      </c>
      <c r="H292" t="s">
        <v>22</v>
      </c>
      <c r="I292" t="s">
        <v>13</v>
      </c>
      <c r="J292" s="2">
        <f>Ventas[[#This Row],[Cantidad]]*Ventas[[#This Row],[Precio_Unitario]]</f>
        <v>314400</v>
      </c>
      <c r="K292" s="2">
        <f>Ventas[[#This Row],[Cantidad]]*Ventas[[#This Row],[Costo_Unitario]]</f>
        <v>157200</v>
      </c>
      <c r="L292" s="2">
        <f>Ventas[[#This Row],[Ventas_Totales]]-Ventas[[#This Row],[Costo_Total]]</f>
        <v>157200</v>
      </c>
    </row>
    <row r="293" spans="1:12">
      <c r="A293" t="s">
        <v>323</v>
      </c>
      <c r="B293" s="1">
        <v>45870</v>
      </c>
      <c r="C293" t="s">
        <v>24</v>
      </c>
      <c r="D293" t="s">
        <v>11</v>
      </c>
      <c r="E293">
        <v>5</v>
      </c>
      <c r="F293" s="2">
        <v>48500</v>
      </c>
      <c r="G293" s="2">
        <v>26700</v>
      </c>
      <c r="H293" t="s">
        <v>19</v>
      </c>
      <c r="I293" t="s">
        <v>64</v>
      </c>
      <c r="J293" s="2">
        <f>Ventas[[#This Row],[Cantidad]]*Ventas[[#This Row],[Precio_Unitario]]</f>
        <v>242500</v>
      </c>
      <c r="K293" s="2">
        <f>Ventas[[#This Row],[Cantidad]]*Ventas[[#This Row],[Costo_Unitario]]</f>
        <v>133500</v>
      </c>
      <c r="L293" s="2">
        <f>Ventas[[#This Row],[Ventas_Totales]]-Ventas[[#This Row],[Costo_Total]]</f>
        <v>109000</v>
      </c>
    </row>
    <row r="294" spans="1:12">
      <c r="A294" t="s">
        <v>324</v>
      </c>
      <c r="B294" s="1">
        <v>45871</v>
      </c>
      <c r="C294" t="s">
        <v>21</v>
      </c>
      <c r="D294" t="s">
        <v>11</v>
      </c>
      <c r="E294">
        <v>3</v>
      </c>
      <c r="F294" s="2">
        <v>45100</v>
      </c>
      <c r="G294" s="2">
        <v>22300</v>
      </c>
      <c r="H294" t="s">
        <v>25</v>
      </c>
      <c r="I294" t="s">
        <v>26</v>
      </c>
      <c r="J294" s="2">
        <f>Ventas[[#This Row],[Cantidad]]*Ventas[[#This Row],[Precio_Unitario]]</f>
        <v>135300</v>
      </c>
      <c r="K294" s="2">
        <f>Ventas[[#This Row],[Cantidad]]*Ventas[[#This Row],[Costo_Unitario]]</f>
        <v>66900</v>
      </c>
      <c r="L294" s="2">
        <f>Ventas[[#This Row],[Ventas_Totales]]-Ventas[[#This Row],[Costo_Total]]</f>
        <v>68400</v>
      </c>
    </row>
    <row r="295" spans="1:12">
      <c r="A295" t="s">
        <v>325</v>
      </c>
      <c r="B295" s="1">
        <v>45872</v>
      </c>
      <c r="C295" t="s">
        <v>47</v>
      </c>
      <c r="D295" t="s">
        <v>16</v>
      </c>
      <c r="E295">
        <v>6</v>
      </c>
      <c r="F295" s="2">
        <v>612600</v>
      </c>
      <c r="G295" s="2">
        <v>462300</v>
      </c>
      <c r="H295" t="s">
        <v>12</v>
      </c>
      <c r="I295" t="s">
        <v>64</v>
      </c>
      <c r="J295" s="2">
        <f>Ventas[[#This Row],[Cantidad]]*Ventas[[#This Row],[Precio_Unitario]]</f>
        <v>3675600</v>
      </c>
      <c r="K295" s="2">
        <f>Ventas[[#This Row],[Cantidad]]*Ventas[[#This Row],[Costo_Unitario]]</f>
        <v>2773800</v>
      </c>
      <c r="L295" s="2">
        <f>Ventas[[#This Row],[Ventas_Totales]]-Ventas[[#This Row],[Costo_Total]]</f>
        <v>901800</v>
      </c>
    </row>
    <row r="296" spans="1:12">
      <c r="A296" t="s">
        <v>326</v>
      </c>
      <c r="B296" s="1">
        <v>45872</v>
      </c>
      <c r="C296" t="s">
        <v>47</v>
      </c>
      <c r="D296" t="s">
        <v>16</v>
      </c>
      <c r="E296">
        <v>2</v>
      </c>
      <c r="F296" s="2">
        <v>604100</v>
      </c>
      <c r="G296" s="2">
        <v>486700</v>
      </c>
      <c r="H296" t="s">
        <v>17</v>
      </c>
      <c r="I296" t="s">
        <v>13</v>
      </c>
      <c r="J296" s="2">
        <f>Ventas[[#This Row],[Cantidad]]*Ventas[[#This Row],[Precio_Unitario]]</f>
        <v>1208200</v>
      </c>
      <c r="K296" s="2">
        <f>Ventas[[#This Row],[Cantidad]]*Ventas[[#This Row],[Costo_Unitario]]</f>
        <v>973400</v>
      </c>
      <c r="L296" s="2">
        <f>Ventas[[#This Row],[Ventas_Totales]]-Ventas[[#This Row],[Costo_Total]]</f>
        <v>234800</v>
      </c>
    </row>
    <row r="297" spans="1:12">
      <c r="A297" t="s">
        <v>327</v>
      </c>
      <c r="B297" s="1">
        <v>45872</v>
      </c>
      <c r="C297" t="s">
        <v>24</v>
      </c>
      <c r="D297" t="s">
        <v>11</v>
      </c>
      <c r="E297">
        <v>4</v>
      </c>
      <c r="F297" s="2">
        <v>46200</v>
      </c>
      <c r="G297" s="2">
        <v>26200</v>
      </c>
      <c r="H297" t="s">
        <v>17</v>
      </c>
      <c r="I297" t="s">
        <v>13</v>
      </c>
      <c r="J297" s="2">
        <f>Ventas[[#This Row],[Cantidad]]*Ventas[[#This Row],[Precio_Unitario]]</f>
        <v>184800</v>
      </c>
      <c r="K297" s="2">
        <f>Ventas[[#This Row],[Cantidad]]*Ventas[[#This Row],[Costo_Unitario]]</f>
        <v>104800</v>
      </c>
      <c r="L297" s="2">
        <f>Ventas[[#This Row],[Ventas_Totales]]-Ventas[[#This Row],[Costo_Total]]</f>
        <v>80000</v>
      </c>
    </row>
    <row r="298" spans="1:12">
      <c r="A298" t="s">
        <v>328</v>
      </c>
      <c r="B298" s="1">
        <v>45873</v>
      </c>
      <c r="C298" t="s">
        <v>47</v>
      </c>
      <c r="D298" t="s">
        <v>16</v>
      </c>
      <c r="E298">
        <v>6</v>
      </c>
      <c r="F298" s="2">
        <v>657600</v>
      </c>
      <c r="G298" s="2">
        <v>470300</v>
      </c>
      <c r="H298" t="s">
        <v>22</v>
      </c>
      <c r="I298" t="s">
        <v>30</v>
      </c>
      <c r="J298" s="2">
        <f>Ventas[[#This Row],[Cantidad]]*Ventas[[#This Row],[Precio_Unitario]]</f>
        <v>3945600</v>
      </c>
      <c r="K298" s="2">
        <f>Ventas[[#This Row],[Cantidad]]*Ventas[[#This Row],[Costo_Unitario]]</f>
        <v>2821800</v>
      </c>
      <c r="L298" s="2">
        <f>Ventas[[#This Row],[Ventas_Totales]]-Ventas[[#This Row],[Costo_Total]]</f>
        <v>1123800</v>
      </c>
    </row>
    <row r="299" spans="1:12">
      <c r="A299" t="s">
        <v>329</v>
      </c>
      <c r="B299" s="1">
        <v>45873</v>
      </c>
      <c r="C299" t="s">
        <v>39</v>
      </c>
      <c r="D299" t="s">
        <v>11</v>
      </c>
      <c r="E299">
        <v>2</v>
      </c>
      <c r="F299" s="2">
        <v>32300</v>
      </c>
      <c r="G299" s="2">
        <v>17300</v>
      </c>
      <c r="H299" t="s">
        <v>17</v>
      </c>
      <c r="I299" t="s">
        <v>13</v>
      </c>
      <c r="J299" s="2">
        <f>Ventas[[#This Row],[Cantidad]]*Ventas[[#This Row],[Precio_Unitario]]</f>
        <v>64600</v>
      </c>
      <c r="K299" s="2">
        <f>Ventas[[#This Row],[Cantidad]]*Ventas[[#This Row],[Costo_Unitario]]</f>
        <v>34600</v>
      </c>
      <c r="L299" s="2">
        <f>Ventas[[#This Row],[Ventas_Totales]]-Ventas[[#This Row],[Costo_Total]]</f>
        <v>30000</v>
      </c>
    </row>
    <row r="300" spans="1:12">
      <c r="A300" t="s">
        <v>330</v>
      </c>
      <c r="B300" s="1">
        <v>45875</v>
      </c>
      <c r="C300" t="s">
        <v>33</v>
      </c>
      <c r="D300" t="s">
        <v>34</v>
      </c>
      <c r="E300">
        <v>2</v>
      </c>
      <c r="F300" s="2">
        <v>178700</v>
      </c>
      <c r="G300" s="2">
        <v>115800</v>
      </c>
      <c r="H300" t="s">
        <v>17</v>
      </c>
      <c r="I300" t="s">
        <v>13</v>
      </c>
      <c r="J300" s="2">
        <f>Ventas[[#This Row],[Cantidad]]*Ventas[[#This Row],[Precio_Unitario]]</f>
        <v>357400</v>
      </c>
      <c r="K300" s="2">
        <f>Ventas[[#This Row],[Cantidad]]*Ventas[[#This Row],[Costo_Unitario]]</f>
        <v>231600</v>
      </c>
      <c r="L300" s="2">
        <f>Ventas[[#This Row],[Ventas_Totales]]-Ventas[[#This Row],[Costo_Total]]</f>
        <v>125800</v>
      </c>
    </row>
    <row r="301" spans="1:12">
      <c r="A301" t="s">
        <v>331</v>
      </c>
      <c r="B301" s="1">
        <v>45876</v>
      </c>
      <c r="C301" t="s">
        <v>39</v>
      </c>
      <c r="D301" t="s">
        <v>11</v>
      </c>
      <c r="E301">
        <v>3</v>
      </c>
      <c r="F301" s="2">
        <v>33400</v>
      </c>
      <c r="G301" s="2">
        <v>17800</v>
      </c>
      <c r="H301" t="s">
        <v>25</v>
      </c>
      <c r="I301" t="s">
        <v>30</v>
      </c>
      <c r="J301" s="2">
        <f>Ventas[[#This Row],[Cantidad]]*Ventas[[#This Row],[Precio_Unitario]]</f>
        <v>100200</v>
      </c>
      <c r="K301" s="2">
        <f>Ventas[[#This Row],[Cantidad]]*Ventas[[#This Row],[Costo_Unitario]]</f>
        <v>53400</v>
      </c>
      <c r="L301" s="2">
        <f>Ventas[[#This Row],[Ventas_Totales]]-Ventas[[#This Row],[Costo_Total]]</f>
        <v>46800</v>
      </c>
    </row>
    <row r="302" spans="1:12">
      <c r="A302" t="s">
        <v>332</v>
      </c>
      <c r="B302" s="1">
        <v>45877</v>
      </c>
      <c r="C302" t="s">
        <v>39</v>
      </c>
      <c r="D302" t="s">
        <v>11</v>
      </c>
      <c r="E302">
        <v>4</v>
      </c>
      <c r="F302" s="2">
        <v>36100</v>
      </c>
      <c r="G302" s="2">
        <v>17700</v>
      </c>
      <c r="H302" t="s">
        <v>22</v>
      </c>
      <c r="I302" t="s">
        <v>72</v>
      </c>
      <c r="J302" s="2">
        <f>Ventas[[#This Row],[Cantidad]]*Ventas[[#This Row],[Precio_Unitario]]</f>
        <v>144400</v>
      </c>
      <c r="K302" s="2">
        <f>Ventas[[#This Row],[Cantidad]]*Ventas[[#This Row],[Costo_Unitario]]</f>
        <v>70800</v>
      </c>
      <c r="L302" s="2">
        <f>Ventas[[#This Row],[Ventas_Totales]]-Ventas[[#This Row],[Costo_Total]]</f>
        <v>73600</v>
      </c>
    </row>
    <row r="303" spans="1:12">
      <c r="A303" t="s">
        <v>333</v>
      </c>
      <c r="B303" s="1">
        <v>45879</v>
      </c>
      <c r="C303" t="s">
        <v>24</v>
      </c>
      <c r="D303" t="s">
        <v>11</v>
      </c>
      <c r="E303">
        <v>7</v>
      </c>
      <c r="F303" s="2">
        <v>45600</v>
      </c>
      <c r="G303" s="2">
        <v>26000</v>
      </c>
      <c r="H303" t="s">
        <v>22</v>
      </c>
      <c r="I303" t="s">
        <v>26</v>
      </c>
      <c r="J303" s="2">
        <f>Ventas[[#This Row],[Cantidad]]*Ventas[[#This Row],[Precio_Unitario]]</f>
        <v>319200</v>
      </c>
      <c r="K303" s="2">
        <f>Ventas[[#This Row],[Cantidad]]*Ventas[[#This Row],[Costo_Unitario]]</f>
        <v>182000</v>
      </c>
      <c r="L303" s="2">
        <f>Ventas[[#This Row],[Ventas_Totales]]-Ventas[[#This Row],[Costo_Total]]</f>
        <v>137200</v>
      </c>
    </row>
    <row r="304" spans="1:12">
      <c r="A304" t="s">
        <v>334</v>
      </c>
      <c r="B304" s="1">
        <v>45880</v>
      </c>
      <c r="C304" t="s">
        <v>10</v>
      </c>
      <c r="D304" t="s">
        <v>11</v>
      </c>
      <c r="E304">
        <v>1</v>
      </c>
      <c r="F304" s="2">
        <v>22200</v>
      </c>
      <c r="G304" s="2">
        <v>10400</v>
      </c>
      <c r="H304" t="s">
        <v>19</v>
      </c>
      <c r="I304" t="s">
        <v>13</v>
      </c>
      <c r="J304" s="2">
        <f>Ventas[[#This Row],[Cantidad]]*Ventas[[#This Row],[Precio_Unitario]]</f>
        <v>22200</v>
      </c>
      <c r="K304" s="2">
        <f>Ventas[[#This Row],[Cantidad]]*Ventas[[#This Row],[Costo_Unitario]]</f>
        <v>10400</v>
      </c>
      <c r="L304" s="2">
        <f>Ventas[[#This Row],[Ventas_Totales]]-Ventas[[#This Row],[Costo_Total]]</f>
        <v>11800</v>
      </c>
    </row>
    <row r="305" spans="1:12">
      <c r="A305" t="s">
        <v>335</v>
      </c>
      <c r="B305" s="1">
        <v>45882</v>
      </c>
      <c r="C305" t="s">
        <v>39</v>
      </c>
      <c r="D305" t="s">
        <v>11</v>
      </c>
      <c r="E305">
        <v>3</v>
      </c>
      <c r="F305" s="2">
        <v>32400</v>
      </c>
      <c r="G305" s="2">
        <v>18200</v>
      </c>
      <c r="H305" t="s">
        <v>17</v>
      </c>
      <c r="I305" t="s">
        <v>26</v>
      </c>
      <c r="J305" s="2">
        <f>Ventas[[#This Row],[Cantidad]]*Ventas[[#This Row],[Precio_Unitario]]</f>
        <v>97200</v>
      </c>
      <c r="K305" s="2">
        <f>Ventas[[#This Row],[Cantidad]]*Ventas[[#This Row],[Costo_Unitario]]</f>
        <v>54600</v>
      </c>
      <c r="L305" s="2">
        <f>Ventas[[#This Row],[Ventas_Totales]]-Ventas[[#This Row],[Costo_Total]]</f>
        <v>42600</v>
      </c>
    </row>
    <row r="306" spans="1:12">
      <c r="A306" t="s">
        <v>336</v>
      </c>
      <c r="B306" s="1">
        <v>45884</v>
      </c>
      <c r="C306" t="s">
        <v>10</v>
      </c>
      <c r="D306" t="s">
        <v>11</v>
      </c>
      <c r="E306">
        <v>5</v>
      </c>
      <c r="F306" s="2">
        <v>22000</v>
      </c>
      <c r="G306" s="2">
        <v>9900</v>
      </c>
      <c r="H306" t="s">
        <v>19</v>
      </c>
      <c r="I306" t="s">
        <v>13</v>
      </c>
      <c r="J306" s="2">
        <f>Ventas[[#This Row],[Cantidad]]*Ventas[[#This Row],[Precio_Unitario]]</f>
        <v>110000</v>
      </c>
      <c r="K306" s="2">
        <f>Ventas[[#This Row],[Cantidad]]*Ventas[[#This Row],[Costo_Unitario]]</f>
        <v>49500</v>
      </c>
      <c r="L306" s="2">
        <f>Ventas[[#This Row],[Ventas_Totales]]-Ventas[[#This Row],[Costo_Total]]</f>
        <v>60500</v>
      </c>
    </row>
    <row r="307" spans="1:12">
      <c r="A307" t="s">
        <v>337</v>
      </c>
      <c r="B307" s="1">
        <v>45884</v>
      </c>
      <c r="C307" t="s">
        <v>55</v>
      </c>
      <c r="D307" t="s">
        <v>16</v>
      </c>
      <c r="E307">
        <v>7</v>
      </c>
      <c r="F307" s="2">
        <v>241800</v>
      </c>
      <c r="G307" s="2">
        <v>153200</v>
      </c>
      <c r="H307" t="s">
        <v>12</v>
      </c>
      <c r="I307" t="s">
        <v>13</v>
      </c>
      <c r="J307" s="2">
        <f>Ventas[[#This Row],[Cantidad]]*Ventas[[#This Row],[Precio_Unitario]]</f>
        <v>1692600</v>
      </c>
      <c r="K307" s="2">
        <f>Ventas[[#This Row],[Cantidad]]*Ventas[[#This Row],[Costo_Unitario]]</f>
        <v>1072400</v>
      </c>
      <c r="L307" s="2">
        <f>Ventas[[#This Row],[Ventas_Totales]]-Ventas[[#This Row],[Costo_Total]]</f>
        <v>620200</v>
      </c>
    </row>
    <row r="308" spans="1:12">
      <c r="A308" t="s">
        <v>338</v>
      </c>
      <c r="B308" s="1">
        <v>45884</v>
      </c>
      <c r="C308" t="s">
        <v>10</v>
      </c>
      <c r="D308" t="s">
        <v>11</v>
      </c>
      <c r="E308">
        <v>6</v>
      </c>
      <c r="F308" s="2">
        <v>21000</v>
      </c>
      <c r="G308" s="2">
        <v>10100</v>
      </c>
      <c r="H308" t="s">
        <v>17</v>
      </c>
      <c r="I308" t="s">
        <v>30</v>
      </c>
      <c r="J308" s="2">
        <f>Ventas[[#This Row],[Cantidad]]*Ventas[[#This Row],[Precio_Unitario]]</f>
        <v>126000</v>
      </c>
      <c r="K308" s="2">
        <f>Ventas[[#This Row],[Cantidad]]*Ventas[[#This Row],[Costo_Unitario]]</f>
        <v>60600</v>
      </c>
      <c r="L308" s="2">
        <f>Ventas[[#This Row],[Ventas_Totales]]-Ventas[[#This Row],[Costo_Total]]</f>
        <v>65400</v>
      </c>
    </row>
    <row r="309" spans="1:12">
      <c r="A309" t="s">
        <v>339</v>
      </c>
      <c r="B309" s="1">
        <v>45885</v>
      </c>
      <c r="C309" t="s">
        <v>10</v>
      </c>
      <c r="D309" t="s">
        <v>11</v>
      </c>
      <c r="E309">
        <v>3</v>
      </c>
      <c r="F309" s="2">
        <v>22200</v>
      </c>
      <c r="G309" s="2">
        <v>9900</v>
      </c>
      <c r="H309" t="s">
        <v>22</v>
      </c>
      <c r="I309" t="s">
        <v>64</v>
      </c>
      <c r="J309" s="2">
        <f>Ventas[[#This Row],[Cantidad]]*Ventas[[#This Row],[Precio_Unitario]]</f>
        <v>66600</v>
      </c>
      <c r="K309" s="2">
        <f>Ventas[[#This Row],[Cantidad]]*Ventas[[#This Row],[Costo_Unitario]]</f>
        <v>29700</v>
      </c>
      <c r="L309" s="2">
        <f>Ventas[[#This Row],[Ventas_Totales]]-Ventas[[#This Row],[Costo_Total]]</f>
        <v>36900</v>
      </c>
    </row>
    <row r="310" spans="1:12">
      <c r="A310" t="s">
        <v>340</v>
      </c>
      <c r="B310" s="1">
        <v>45887</v>
      </c>
      <c r="C310" t="s">
        <v>21</v>
      </c>
      <c r="D310" t="s">
        <v>11</v>
      </c>
      <c r="E310">
        <v>6</v>
      </c>
      <c r="F310" s="2">
        <v>42200</v>
      </c>
      <c r="G310" s="2">
        <v>22700</v>
      </c>
      <c r="H310" t="s">
        <v>12</v>
      </c>
      <c r="I310" t="s">
        <v>72</v>
      </c>
      <c r="J310" s="2">
        <f>Ventas[[#This Row],[Cantidad]]*Ventas[[#This Row],[Precio_Unitario]]</f>
        <v>253200</v>
      </c>
      <c r="K310" s="2">
        <f>Ventas[[#This Row],[Cantidad]]*Ventas[[#This Row],[Costo_Unitario]]</f>
        <v>136200</v>
      </c>
      <c r="L310" s="2">
        <f>Ventas[[#This Row],[Ventas_Totales]]-Ventas[[#This Row],[Costo_Total]]</f>
        <v>117000</v>
      </c>
    </row>
    <row r="311" spans="1:12">
      <c r="A311" t="s">
        <v>341</v>
      </c>
      <c r="B311" s="1">
        <v>45888</v>
      </c>
      <c r="C311" t="s">
        <v>21</v>
      </c>
      <c r="D311" t="s">
        <v>11</v>
      </c>
      <c r="E311">
        <v>6</v>
      </c>
      <c r="F311" s="2">
        <v>42500</v>
      </c>
      <c r="G311" s="2">
        <v>22700</v>
      </c>
      <c r="H311" t="s">
        <v>25</v>
      </c>
      <c r="I311" t="s">
        <v>72</v>
      </c>
      <c r="J311" s="2">
        <f>Ventas[[#This Row],[Cantidad]]*Ventas[[#This Row],[Precio_Unitario]]</f>
        <v>255000</v>
      </c>
      <c r="K311" s="2">
        <f>Ventas[[#This Row],[Cantidad]]*Ventas[[#This Row],[Costo_Unitario]]</f>
        <v>136200</v>
      </c>
      <c r="L311" s="2">
        <f>Ventas[[#This Row],[Ventas_Totales]]-Ventas[[#This Row],[Costo_Total]]</f>
        <v>118800</v>
      </c>
    </row>
    <row r="312" spans="1:12">
      <c r="A312" t="s">
        <v>342</v>
      </c>
      <c r="B312" s="1">
        <v>45888</v>
      </c>
      <c r="C312" t="s">
        <v>39</v>
      </c>
      <c r="D312" t="s">
        <v>11</v>
      </c>
      <c r="E312">
        <v>4</v>
      </c>
      <c r="F312" s="2">
        <v>37600</v>
      </c>
      <c r="G312" s="2">
        <v>18100</v>
      </c>
      <c r="H312" t="s">
        <v>22</v>
      </c>
      <c r="I312" t="s">
        <v>30</v>
      </c>
      <c r="J312" s="2">
        <f>Ventas[[#This Row],[Cantidad]]*Ventas[[#This Row],[Precio_Unitario]]</f>
        <v>150400</v>
      </c>
      <c r="K312" s="2">
        <f>Ventas[[#This Row],[Cantidad]]*Ventas[[#This Row],[Costo_Unitario]]</f>
        <v>72400</v>
      </c>
      <c r="L312" s="2">
        <f>Ventas[[#This Row],[Ventas_Totales]]-Ventas[[#This Row],[Costo_Total]]</f>
        <v>78000</v>
      </c>
    </row>
    <row r="313" spans="1:12">
      <c r="A313" t="s">
        <v>343</v>
      </c>
      <c r="B313" s="1">
        <v>45889</v>
      </c>
      <c r="C313" t="s">
        <v>37</v>
      </c>
      <c r="D313" t="s">
        <v>34</v>
      </c>
      <c r="E313">
        <v>3</v>
      </c>
      <c r="F313" s="2">
        <v>279200</v>
      </c>
      <c r="G313" s="2">
        <v>170100</v>
      </c>
      <c r="H313" t="s">
        <v>25</v>
      </c>
      <c r="I313" t="s">
        <v>13</v>
      </c>
      <c r="J313" s="2">
        <f>Ventas[[#This Row],[Cantidad]]*Ventas[[#This Row],[Precio_Unitario]]</f>
        <v>837600</v>
      </c>
      <c r="K313" s="2">
        <f>Ventas[[#This Row],[Cantidad]]*Ventas[[#This Row],[Costo_Unitario]]</f>
        <v>510300</v>
      </c>
      <c r="L313" s="2">
        <f>Ventas[[#This Row],[Ventas_Totales]]-Ventas[[#This Row],[Costo_Total]]</f>
        <v>327300</v>
      </c>
    </row>
    <row r="314" spans="1:12">
      <c r="A314" t="s">
        <v>344</v>
      </c>
      <c r="B314" s="1">
        <v>45889</v>
      </c>
      <c r="C314" t="s">
        <v>39</v>
      </c>
      <c r="D314" t="s">
        <v>11</v>
      </c>
      <c r="E314">
        <v>2</v>
      </c>
      <c r="F314" s="2">
        <v>37500</v>
      </c>
      <c r="G314" s="2">
        <v>17400</v>
      </c>
      <c r="H314" t="s">
        <v>22</v>
      </c>
      <c r="I314" t="s">
        <v>64</v>
      </c>
      <c r="J314" s="2">
        <f>Ventas[[#This Row],[Cantidad]]*Ventas[[#This Row],[Precio_Unitario]]</f>
        <v>75000</v>
      </c>
      <c r="K314" s="2">
        <f>Ventas[[#This Row],[Cantidad]]*Ventas[[#This Row],[Costo_Unitario]]</f>
        <v>34800</v>
      </c>
      <c r="L314" s="2">
        <f>Ventas[[#This Row],[Ventas_Totales]]-Ventas[[#This Row],[Costo_Total]]</f>
        <v>40200</v>
      </c>
    </row>
    <row r="315" spans="1:12">
      <c r="A315" t="s">
        <v>345</v>
      </c>
      <c r="B315" s="1">
        <v>45889</v>
      </c>
      <c r="C315" t="s">
        <v>55</v>
      </c>
      <c r="D315" t="s">
        <v>16</v>
      </c>
      <c r="E315">
        <v>5</v>
      </c>
      <c r="F315" s="2">
        <v>235800</v>
      </c>
      <c r="G315" s="2">
        <v>154700</v>
      </c>
      <c r="H315" t="s">
        <v>19</v>
      </c>
      <c r="I315" t="s">
        <v>30</v>
      </c>
      <c r="J315" s="2">
        <f>Ventas[[#This Row],[Cantidad]]*Ventas[[#This Row],[Precio_Unitario]]</f>
        <v>1179000</v>
      </c>
      <c r="K315" s="2">
        <f>Ventas[[#This Row],[Cantidad]]*Ventas[[#This Row],[Costo_Unitario]]</f>
        <v>773500</v>
      </c>
      <c r="L315" s="2">
        <f>Ventas[[#This Row],[Ventas_Totales]]-Ventas[[#This Row],[Costo_Total]]</f>
        <v>405500</v>
      </c>
    </row>
    <row r="316" spans="1:12">
      <c r="A316" t="s">
        <v>346</v>
      </c>
      <c r="B316" s="1">
        <v>45889</v>
      </c>
      <c r="C316" t="s">
        <v>39</v>
      </c>
      <c r="D316" t="s">
        <v>11</v>
      </c>
      <c r="E316">
        <v>6</v>
      </c>
      <c r="F316" s="2">
        <v>37300</v>
      </c>
      <c r="G316" s="2">
        <v>17400</v>
      </c>
      <c r="H316" t="s">
        <v>12</v>
      </c>
      <c r="I316" t="s">
        <v>13</v>
      </c>
      <c r="J316" s="2">
        <f>Ventas[[#This Row],[Cantidad]]*Ventas[[#This Row],[Precio_Unitario]]</f>
        <v>223800</v>
      </c>
      <c r="K316" s="2">
        <f>Ventas[[#This Row],[Cantidad]]*Ventas[[#This Row],[Costo_Unitario]]</f>
        <v>104400</v>
      </c>
      <c r="L316" s="2">
        <f>Ventas[[#This Row],[Ventas_Totales]]-Ventas[[#This Row],[Costo_Total]]</f>
        <v>119400</v>
      </c>
    </row>
    <row r="317" spans="1:12">
      <c r="A317" t="s">
        <v>347</v>
      </c>
      <c r="B317" s="1">
        <v>45890</v>
      </c>
      <c r="C317" t="s">
        <v>33</v>
      </c>
      <c r="D317" t="s">
        <v>34</v>
      </c>
      <c r="E317">
        <v>7</v>
      </c>
      <c r="F317" s="2">
        <v>172000</v>
      </c>
      <c r="G317" s="2">
        <v>117400</v>
      </c>
      <c r="H317" t="s">
        <v>17</v>
      </c>
      <c r="I317" t="s">
        <v>13</v>
      </c>
      <c r="J317" s="2">
        <f>Ventas[[#This Row],[Cantidad]]*Ventas[[#This Row],[Precio_Unitario]]</f>
        <v>1204000</v>
      </c>
      <c r="K317" s="2">
        <f>Ventas[[#This Row],[Cantidad]]*Ventas[[#This Row],[Costo_Unitario]]</f>
        <v>821800</v>
      </c>
      <c r="L317" s="2">
        <f>Ventas[[#This Row],[Ventas_Totales]]-Ventas[[#This Row],[Costo_Total]]</f>
        <v>382200</v>
      </c>
    </row>
    <row r="318" spans="1:12">
      <c r="A318" t="s">
        <v>348</v>
      </c>
      <c r="B318" s="1">
        <v>45890</v>
      </c>
      <c r="C318" t="s">
        <v>39</v>
      </c>
      <c r="D318" t="s">
        <v>11</v>
      </c>
      <c r="E318">
        <v>5</v>
      </c>
      <c r="F318" s="2">
        <v>36300</v>
      </c>
      <c r="G318" s="2">
        <v>17400</v>
      </c>
      <c r="H318" t="s">
        <v>22</v>
      </c>
      <c r="I318" t="s">
        <v>26</v>
      </c>
      <c r="J318" s="2">
        <f>Ventas[[#This Row],[Cantidad]]*Ventas[[#This Row],[Precio_Unitario]]</f>
        <v>181500</v>
      </c>
      <c r="K318" s="2">
        <f>Ventas[[#This Row],[Cantidad]]*Ventas[[#This Row],[Costo_Unitario]]</f>
        <v>87000</v>
      </c>
      <c r="L318" s="2">
        <f>Ventas[[#This Row],[Ventas_Totales]]-Ventas[[#This Row],[Costo_Total]]</f>
        <v>94500</v>
      </c>
    </row>
    <row r="319" spans="1:12">
      <c r="A319" t="s">
        <v>349</v>
      </c>
      <c r="B319" s="1">
        <v>45890</v>
      </c>
      <c r="C319" t="s">
        <v>33</v>
      </c>
      <c r="D319" t="s">
        <v>34</v>
      </c>
      <c r="E319">
        <v>7</v>
      </c>
      <c r="F319" s="2">
        <v>195700</v>
      </c>
      <c r="G319" s="2">
        <v>119100</v>
      </c>
      <c r="H319" t="s">
        <v>17</v>
      </c>
      <c r="I319" t="s">
        <v>72</v>
      </c>
      <c r="J319" s="2">
        <f>Ventas[[#This Row],[Cantidad]]*Ventas[[#This Row],[Precio_Unitario]]</f>
        <v>1369900</v>
      </c>
      <c r="K319" s="2">
        <f>Ventas[[#This Row],[Cantidad]]*Ventas[[#This Row],[Costo_Unitario]]</f>
        <v>833700</v>
      </c>
      <c r="L319" s="2">
        <f>Ventas[[#This Row],[Ventas_Totales]]-Ventas[[#This Row],[Costo_Total]]</f>
        <v>536200</v>
      </c>
    </row>
    <row r="320" spans="1:12">
      <c r="A320" t="s">
        <v>350</v>
      </c>
      <c r="B320" s="1">
        <v>45891</v>
      </c>
      <c r="C320" t="s">
        <v>39</v>
      </c>
      <c r="D320" t="s">
        <v>11</v>
      </c>
      <c r="E320">
        <v>7</v>
      </c>
      <c r="F320" s="2">
        <v>34300</v>
      </c>
      <c r="G320" s="2">
        <v>17500</v>
      </c>
      <c r="H320" t="s">
        <v>25</v>
      </c>
      <c r="I320" t="s">
        <v>64</v>
      </c>
      <c r="J320" s="2">
        <f>Ventas[[#This Row],[Cantidad]]*Ventas[[#This Row],[Precio_Unitario]]</f>
        <v>240100</v>
      </c>
      <c r="K320" s="2">
        <f>Ventas[[#This Row],[Cantidad]]*Ventas[[#This Row],[Costo_Unitario]]</f>
        <v>122500</v>
      </c>
      <c r="L320" s="2">
        <f>Ventas[[#This Row],[Ventas_Totales]]-Ventas[[#This Row],[Costo_Total]]</f>
        <v>117600</v>
      </c>
    </row>
    <row r="321" spans="1:12">
      <c r="A321" t="s">
        <v>351</v>
      </c>
      <c r="B321" s="1">
        <v>45894</v>
      </c>
      <c r="C321" t="s">
        <v>47</v>
      </c>
      <c r="D321" t="s">
        <v>16</v>
      </c>
      <c r="E321">
        <v>1</v>
      </c>
      <c r="F321" s="2">
        <v>614600</v>
      </c>
      <c r="G321" s="2">
        <v>456900</v>
      </c>
      <c r="H321" t="s">
        <v>25</v>
      </c>
      <c r="I321" t="s">
        <v>30</v>
      </c>
      <c r="J321" s="2">
        <f>Ventas[[#This Row],[Cantidad]]*Ventas[[#This Row],[Precio_Unitario]]</f>
        <v>614600</v>
      </c>
      <c r="K321" s="2">
        <f>Ventas[[#This Row],[Cantidad]]*Ventas[[#This Row],[Costo_Unitario]]</f>
        <v>456900</v>
      </c>
      <c r="L321" s="2">
        <f>Ventas[[#This Row],[Ventas_Totales]]-Ventas[[#This Row],[Costo_Total]]</f>
        <v>157700</v>
      </c>
    </row>
    <row r="322" spans="1:12">
      <c r="A322" t="s">
        <v>352</v>
      </c>
      <c r="B322" s="1">
        <v>45895</v>
      </c>
      <c r="C322" t="s">
        <v>39</v>
      </c>
      <c r="D322" t="s">
        <v>11</v>
      </c>
      <c r="E322">
        <v>1</v>
      </c>
      <c r="F322" s="2">
        <v>38100</v>
      </c>
      <c r="G322" s="2">
        <v>17400</v>
      </c>
      <c r="H322" t="s">
        <v>19</v>
      </c>
      <c r="I322" t="s">
        <v>26</v>
      </c>
      <c r="J322" s="2">
        <f>Ventas[[#This Row],[Cantidad]]*Ventas[[#This Row],[Precio_Unitario]]</f>
        <v>38100</v>
      </c>
      <c r="K322" s="2">
        <f>Ventas[[#This Row],[Cantidad]]*Ventas[[#This Row],[Costo_Unitario]]</f>
        <v>17400</v>
      </c>
      <c r="L322" s="2">
        <f>Ventas[[#This Row],[Ventas_Totales]]-Ventas[[#This Row],[Costo_Total]]</f>
        <v>20700</v>
      </c>
    </row>
    <row r="323" spans="1:12">
      <c r="A323" t="s">
        <v>353</v>
      </c>
      <c r="B323" s="1">
        <v>45895</v>
      </c>
      <c r="C323" t="s">
        <v>55</v>
      </c>
      <c r="D323" t="s">
        <v>16</v>
      </c>
      <c r="E323">
        <v>7</v>
      </c>
      <c r="F323" s="2">
        <v>213300</v>
      </c>
      <c r="G323" s="2">
        <v>149000</v>
      </c>
      <c r="H323" t="s">
        <v>17</v>
      </c>
      <c r="I323" t="s">
        <v>13</v>
      </c>
      <c r="J323" s="2">
        <f>Ventas[[#This Row],[Cantidad]]*Ventas[[#This Row],[Precio_Unitario]]</f>
        <v>1493100</v>
      </c>
      <c r="K323" s="2">
        <f>Ventas[[#This Row],[Cantidad]]*Ventas[[#This Row],[Costo_Unitario]]</f>
        <v>1043000</v>
      </c>
      <c r="L323" s="2">
        <f>Ventas[[#This Row],[Ventas_Totales]]-Ventas[[#This Row],[Costo_Total]]</f>
        <v>450100</v>
      </c>
    </row>
    <row r="324" spans="1:12">
      <c r="A324" t="s">
        <v>354</v>
      </c>
      <c r="B324" s="1">
        <v>45895</v>
      </c>
      <c r="C324" t="s">
        <v>10</v>
      </c>
      <c r="D324" t="s">
        <v>11</v>
      </c>
      <c r="E324">
        <v>7</v>
      </c>
      <c r="F324" s="2">
        <v>20400</v>
      </c>
      <c r="G324" s="2">
        <v>9900</v>
      </c>
      <c r="H324" t="s">
        <v>25</v>
      </c>
      <c r="I324" t="s">
        <v>26</v>
      </c>
      <c r="J324" s="2">
        <f>Ventas[[#This Row],[Cantidad]]*Ventas[[#This Row],[Precio_Unitario]]</f>
        <v>142800</v>
      </c>
      <c r="K324" s="2">
        <f>Ventas[[#This Row],[Cantidad]]*Ventas[[#This Row],[Costo_Unitario]]</f>
        <v>69300</v>
      </c>
      <c r="L324" s="2">
        <f>Ventas[[#This Row],[Ventas_Totales]]-Ventas[[#This Row],[Costo_Total]]</f>
        <v>73500</v>
      </c>
    </row>
    <row r="325" spans="1:12">
      <c r="A325" t="s">
        <v>355</v>
      </c>
      <c r="B325" s="1">
        <v>45895</v>
      </c>
      <c r="C325" t="s">
        <v>39</v>
      </c>
      <c r="D325" t="s">
        <v>11</v>
      </c>
      <c r="E325">
        <v>5</v>
      </c>
      <c r="F325" s="2">
        <v>37200</v>
      </c>
      <c r="G325" s="2">
        <v>17400</v>
      </c>
      <c r="H325" t="s">
        <v>25</v>
      </c>
      <c r="I325" t="s">
        <v>64</v>
      </c>
      <c r="J325" s="2">
        <f>Ventas[[#This Row],[Cantidad]]*Ventas[[#This Row],[Precio_Unitario]]</f>
        <v>186000</v>
      </c>
      <c r="K325" s="2">
        <f>Ventas[[#This Row],[Cantidad]]*Ventas[[#This Row],[Costo_Unitario]]</f>
        <v>87000</v>
      </c>
      <c r="L325" s="2">
        <f>Ventas[[#This Row],[Ventas_Totales]]-Ventas[[#This Row],[Costo_Total]]</f>
        <v>99000</v>
      </c>
    </row>
    <row r="326" spans="1:12">
      <c r="A326" t="s">
        <v>356</v>
      </c>
      <c r="B326" s="1">
        <v>45896</v>
      </c>
      <c r="C326" t="s">
        <v>15</v>
      </c>
      <c r="D326" t="s">
        <v>16</v>
      </c>
      <c r="E326">
        <v>7</v>
      </c>
      <c r="F326" s="2">
        <v>299100</v>
      </c>
      <c r="G326" s="2">
        <v>225500</v>
      </c>
      <c r="H326" t="s">
        <v>25</v>
      </c>
      <c r="I326" t="s">
        <v>64</v>
      </c>
      <c r="J326" s="2">
        <f>Ventas[[#This Row],[Cantidad]]*Ventas[[#This Row],[Precio_Unitario]]</f>
        <v>2093700</v>
      </c>
      <c r="K326" s="2">
        <f>Ventas[[#This Row],[Cantidad]]*Ventas[[#This Row],[Costo_Unitario]]</f>
        <v>1578500</v>
      </c>
      <c r="L326" s="2">
        <f>Ventas[[#This Row],[Ventas_Totales]]-Ventas[[#This Row],[Costo_Total]]</f>
        <v>515200</v>
      </c>
    </row>
    <row r="327" spans="1:12">
      <c r="A327" t="s">
        <v>357</v>
      </c>
      <c r="B327" s="1">
        <v>45896</v>
      </c>
      <c r="C327" t="s">
        <v>55</v>
      </c>
      <c r="D327" t="s">
        <v>16</v>
      </c>
      <c r="E327">
        <v>4</v>
      </c>
      <c r="F327" s="2">
        <v>239300</v>
      </c>
      <c r="G327" s="2">
        <v>150900</v>
      </c>
      <c r="H327" t="s">
        <v>22</v>
      </c>
      <c r="I327" t="s">
        <v>30</v>
      </c>
      <c r="J327" s="2">
        <f>Ventas[[#This Row],[Cantidad]]*Ventas[[#This Row],[Precio_Unitario]]</f>
        <v>957200</v>
      </c>
      <c r="K327" s="2">
        <f>Ventas[[#This Row],[Cantidad]]*Ventas[[#This Row],[Costo_Unitario]]</f>
        <v>603600</v>
      </c>
      <c r="L327" s="2">
        <f>Ventas[[#This Row],[Ventas_Totales]]-Ventas[[#This Row],[Costo_Total]]</f>
        <v>353600</v>
      </c>
    </row>
    <row r="328" spans="1:12">
      <c r="A328" t="s">
        <v>358</v>
      </c>
      <c r="B328" s="1">
        <v>45896</v>
      </c>
      <c r="C328" t="s">
        <v>37</v>
      </c>
      <c r="D328" t="s">
        <v>34</v>
      </c>
      <c r="E328">
        <v>6</v>
      </c>
      <c r="F328" s="2">
        <v>277400</v>
      </c>
      <c r="G328" s="2">
        <v>168900</v>
      </c>
      <c r="H328" t="s">
        <v>17</v>
      </c>
      <c r="I328" t="s">
        <v>30</v>
      </c>
      <c r="J328" s="2">
        <f>Ventas[[#This Row],[Cantidad]]*Ventas[[#This Row],[Precio_Unitario]]</f>
        <v>1664400</v>
      </c>
      <c r="K328" s="2">
        <f>Ventas[[#This Row],[Cantidad]]*Ventas[[#This Row],[Costo_Unitario]]</f>
        <v>1013400</v>
      </c>
      <c r="L328" s="2">
        <f>Ventas[[#This Row],[Ventas_Totales]]-Ventas[[#This Row],[Costo_Total]]</f>
        <v>651000</v>
      </c>
    </row>
    <row r="329" spans="1:12">
      <c r="A329" t="s">
        <v>359</v>
      </c>
      <c r="B329" s="1">
        <v>45897</v>
      </c>
      <c r="C329" t="s">
        <v>39</v>
      </c>
      <c r="D329" t="s">
        <v>11</v>
      </c>
      <c r="E329">
        <v>3</v>
      </c>
      <c r="F329" s="2">
        <v>37000</v>
      </c>
      <c r="G329" s="2">
        <v>18000</v>
      </c>
      <c r="H329" t="s">
        <v>25</v>
      </c>
      <c r="I329" t="s">
        <v>13</v>
      </c>
      <c r="J329" s="2">
        <f>Ventas[[#This Row],[Cantidad]]*Ventas[[#This Row],[Precio_Unitario]]</f>
        <v>111000</v>
      </c>
      <c r="K329" s="2">
        <f>Ventas[[#This Row],[Cantidad]]*Ventas[[#This Row],[Costo_Unitario]]</f>
        <v>54000</v>
      </c>
      <c r="L329" s="2">
        <f>Ventas[[#This Row],[Ventas_Totales]]-Ventas[[#This Row],[Costo_Total]]</f>
        <v>57000</v>
      </c>
    </row>
    <row r="330" spans="1:12">
      <c r="A330" t="s">
        <v>360</v>
      </c>
      <c r="B330" s="1">
        <v>45901</v>
      </c>
      <c r="C330" t="s">
        <v>37</v>
      </c>
      <c r="D330" t="s">
        <v>34</v>
      </c>
      <c r="E330">
        <v>1</v>
      </c>
      <c r="F330" s="2">
        <v>269200</v>
      </c>
      <c r="G330" s="2">
        <v>173800</v>
      </c>
      <c r="H330" t="s">
        <v>22</v>
      </c>
      <c r="I330" t="s">
        <v>13</v>
      </c>
      <c r="J330" s="2">
        <f>Ventas[[#This Row],[Cantidad]]*Ventas[[#This Row],[Precio_Unitario]]</f>
        <v>269200</v>
      </c>
      <c r="K330" s="2">
        <f>Ventas[[#This Row],[Cantidad]]*Ventas[[#This Row],[Costo_Unitario]]</f>
        <v>173800</v>
      </c>
      <c r="L330" s="2">
        <f>Ventas[[#This Row],[Ventas_Totales]]-Ventas[[#This Row],[Costo_Total]]</f>
        <v>95400</v>
      </c>
    </row>
    <row r="331" spans="1:12">
      <c r="A331" t="s">
        <v>361</v>
      </c>
      <c r="B331" s="1">
        <v>45902</v>
      </c>
      <c r="C331" t="s">
        <v>55</v>
      </c>
      <c r="D331" t="s">
        <v>16</v>
      </c>
      <c r="E331">
        <v>7</v>
      </c>
      <c r="F331" s="2">
        <v>213700</v>
      </c>
      <c r="G331" s="2">
        <v>145700</v>
      </c>
      <c r="H331" t="s">
        <v>19</v>
      </c>
      <c r="I331" t="s">
        <v>13</v>
      </c>
      <c r="J331" s="2">
        <f>Ventas[[#This Row],[Cantidad]]*Ventas[[#This Row],[Precio_Unitario]]</f>
        <v>1495900</v>
      </c>
      <c r="K331" s="2">
        <f>Ventas[[#This Row],[Cantidad]]*Ventas[[#This Row],[Costo_Unitario]]</f>
        <v>1019900</v>
      </c>
      <c r="L331" s="2">
        <f>Ventas[[#This Row],[Ventas_Totales]]-Ventas[[#This Row],[Costo_Total]]</f>
        <v>476000</v>
      </c>
    </row>
    <row r="332" spans="1:12">
      <c r="A332" t="s">
        <v>362</v>
      </c>
      <c r="B332" s="1">
        <v>45903</v>
      </c>
      <c r="C332" t="s">
        <v>15</v>
      </c>
      <c r="D332" t="s">
        <v>16</v>
      </c>
      <c r="E332">
        <v>1</v>
      </c>
      <c r="F332" s="2">
        <v>293600</v>
      </c>
      <c r="G332" s="2">
        <v>231000</v>
      </c>
      <c r="H332" t="s">
        <v>12</v>
      </c>
      <c r="I332" t="s">
        <v>64</v>
      </c>
      <c r="J332" s="2">
        <f>Ventas[[#This Row],[Cantidad]]*Ventas[[#This Row],[Precio_Unitario]]</f>
        <v>293600</v>
      </c>
      <c r="K332" s="2">
        <f>Ventas[[#This Row],[Cantidad]]*Ventas[[#This Row],[Costo_Unitario]]</f>
        <v>231000</v>
      </c>
      <c r="L332" s="2">
        <f>Ventas[[#This Row],[Ventas_Totales]]-Ventas[[#This Row],[Costo_Total]]</f>
        <v>62600</v>
      </c>
    </row>
    <row r="333" spans="1:12">
      <c r="A333" t="s">
        <v>363</v>
      </c>
      <c r="B333" s="1">
        <v>45903</v>
      </c>
      <c r="C333" t="s">
        <v>24</v>
      </c>
      <c r="D333" t="s">
        <v>11</v>
      </c>
      <c r="E333">
        <v>3</v>
      </c>
      <c r="F333" s="2">
        <v>49900</v>
      </c>
      <c r="G333" s="2">
        <v>25900</v>
      </c>
      <c r="H333" t="s">
        <v>12</v>
      </c>
      <c r="I333" t="s">
        <v>72</v>
      </c>
      <c r="J333" s="2">
        <f>Ventas[[#This Row],[Cantidad]]*Ventas[[#This Row],[Precio_Unitario]]</f>
        <v>149700</v>
      </c>
      <c r="K333" s="2">
        <f>Ventas[[#This Row],[Cantidad]]*Ventas[[#This Row],[Costo_Unitario]]</f>
        <v>77700</v>
      </c>
      <c r="L333" s="2">
        <f>Ventas[[#This Row],[Ventas_Totales]]-Ventas[[#This Row],[Costo_Total]]</f>
        <v>72000</v>
      </c>
    </row>
    <row r="334" spans="1:12">
      <c r="A334" t="s">
        <v>364</v>
      </c>
      <c r="B334" s="1">
        <v>45904</v>
      </c>
      <c r="C334" t="s">
        <v>10</v>
      </c>
      <c r="D334" t="s">
        <v>11</v>
      </c>
      <c r="E334">
        <v>5</v>
      </c>
      <c r="F334" s="2">
        <v>21200</v>
      </c>
      <c r="G334" s="2">
        <v>10000</v>
      </c>
      <c r="H334" t="s">
        <v>12</v>
      </c>
      <c r="I334" t="s">
        <v>26</v>
      </c>
      <c r="J334" s="2">
        <f>Ventas[[#This Row],[Cantidad]]*Ventas[[#This Row],[Precio_Unitario]]</f>
        <v>106000</v>
      </c>
      <c r="K334" s="2">
        <f>Ventas[[#This Row],[Cantidad]]*Ventas[[#This Row],[Costo_Unitario]]</f>
        <v>50000</v>
      </c>
      <c r="L334" s="2">
        <f>Ventas[[#This Row],[Ventas_Totales]]-Ventas[[#This Row],[Costo_Total]]</f>
        <v>56000</v>
      </c>
    </row>
    <row r="335" spans="1:12">
      <c r="A335" t="s">
        <v>365</v>
      </c>
      <c r="B335" s="1">
        <v>45904</v>
      </c>
      <c r="C335" t="s">
        <v>55</v>
      </c>
      <c r="D335" t="s">
        <v>16</v>
      </c>
      <c r="E335">
        <v>3</v>
      </c>
      <c r="F335" s="2">
        <v>232500</v>
      </c>
      <c r="G335" s="2">
        <v>150600</v>
      </c>
      <c r="H335" t="s">
        <v>22</v>
      </c>
      <c r="I335" t="s">
        <v>30</v>
      </c>
      <c r="J335" s="2">
        <f>Ventas[[#This Row],[Cantidad]]*Ventas[[#This Row],[Precio_Unitario]]</f>
        <v>697500</v>
      </c>
      <c r="K335" s="2">
        <f>Ventas[[#This Row],[Cantidad]]*Ventas[[#This Row],[Costo_Unitario]]</f>
        <v>451800</v>
      </c>
      <c r="L335" s="2">
        <f>Ventas[[#This Row],[Ventas_Totales]]-Ventas[[#This Row],[Costo_Total]]</f>
        <v>245700</v>
      </c>
    </row>
    <row r="336" spans="1:12">
      <c r="A336" t="s">
        <v>366</v>
      </c>
      <c r="B336" s="1">
        <v>45904</v>
      </c>
      <c r="C336" t="s">
        <v>47</v>
      </c>
      <c r="D336" t="s">
        <v>16</v>
      </c>
      <c r="E336">
        <v>3</v>
      </c>
      <c r="F336" s="2">
        <v>602600</v>
      </c>
      <c r="G336" s="2">
        <v>478600</v>
      </c>
      <c r="H336" t="s">
        <v>17</v>
      </c>
      <c r="I336" t="s">
        <v>64</v>
      </c>
      <c r="J336" s="2">
        <f>Ventas[[#This Row],[Cantidad]]*Ventas[[#This Row],[Precio_Unitario]]</f>
        <v>1807800</v>
      </c>
      <c r="K336" s="2">
        <f>Ventas[[#This Row],[Cantidad]]*Ventas[[#This Row],[Costo_Unitario]]</f>
        <v>1435800</v>
      </c>
      <c r="L336" s="2">
        <f>Ventas[[#This Row],[Ventas_Totales]]-Ventas[[#This Row],[Costo_Total]]</f>
        <v>372000</v>
      </c>
    </row>
    <row r="337" spans="1:12">
      <c r="A337" t="s">
        <v>367</v>
      </c>
      <c r="B337" s="1">
        <v>45904</v>
      </c>
      <c r="C337" t="s">
        <v>47</v>
      </c>
      <c r="D337" t="s">
        <v>16</v>
      </c>
      <c r="E337">
        <v>4</v>
      </c>
      <c r="F337" s="2">
        <v>704900</v>
      </c>
      <c r="G337" s="2">
        <v>454500</v>
      </c>
      <c r="H337" t="s">
        <v>19</v>
      </c>
      <c r="I337" t="s">
        <v>13</v>
      </c>
      <c r="J337" s="2">
        <f>Ventas[[#This Row],[Cantidad]]*Ventas[[#This Row],[Precio_Unitario]]</f>
        <v>2819600</v>
      </c>
      <c r="K337" s="2">
        <f>Ventas[[#This Row],[Cantidad]]*Ventas[[#This Row],[Costo_Unitario]]</f>
        <v>1818000</v>
      </c>
      <c r="L337" s="2">
        <f>Ventas[[#This Row],[Ventas_Totales]]-Ventas[[#This Row],[Costo_Total]]</f>
        <v>1001600</v>
      </c>
    </row>
    <row r="338" spans="1:12">
      <c r="A338" t="s">
        <v>368</v>
      </c>
      <c r="B338" s="1">
        <v>45905</v>
      </c>
      <c r="C338" t="s">
        <v>66</v>
      </c>
      <c r="D338" t="s">
        <v>34</v>
      </c>
      <c r="E338">
        <v>2</v>
      </c>
      <c r="F338" s="2">
        <v>27200</v>
      </c>
      <c r="G338" s="2">
        <v>14300</v>
      </c>
      <c r="H338" t="s">
        <v>17</v>
      </c>
      <c r="I338" t="s">
        <v>64</v>
      </c>
      <c r="J338" s="2">
        <f>Ventas[[#This Row],[Cantidad]]*Ventas[[#This Row],[Precio_Unitario]]</f>
        <v>54400</v>
      </c>
      <c r="K338" s="2">
        <f>Ventas[[#This Row],[Cantidad]]*Ventas[[#This Row],[Costo_Unitario]]</f>
        <v>28600</v>
      </c>
      <c r="L338" s="2">
        <f>Ventas[[#This Row],[Ventas_Totales]]-Ventas[[#This Row],[Costo_Total]]</f>
        <v>25800</v>
      </c>
    </row>
    <row r="339" spans="1:12">
      <c r="A339" t="s">
        <v>369</v>
      </c>
      <c r="B339" s="1">
        <v>45905</v>
      </c>
      <c r="C339" t="s">
        <v>37</v>
      </c>
      <c r="D339" t="s">
        <v>34</v>
      </c>
      <c r="E339">
        <v>1</v>
      </c>
      <c r="F339" s="2">
        <v>276300</v>
      </c>
      <c r="G339" s="2">
        <v>178500</v>
      </c>
      <c r="H339" t="s">
        <v>25</v>
      </c>
      <c r="I339" t="s">
        <v>64</v>
      </c>
      <c r="J339" s="2">
        <f>Ventas[[#This Row],[Cantidad]]*Ventas[[#This Row],[Precio_Unitario]]</f>
        <v>276300</v>
      </c>
      <c r="K339" s="2">
        <f>Ventas[[#This Row],[Cantidad]]*Ventas[[#This Row],[Costo_Unitario]]</f>
        <v>178500</v>
      </c>
      <c r="L339" s="2">
        <f>Ventas[[#This Row],[Ventas_Totales]]-Ventas[[#This Row],[Costo_Total]]</f>
        <v>97800</v>
      </c>
    </row>
    <row r="340" spans="1:12">
      <c r="A340" t="s">
        <v>370</v>
      </c>
      <c r="B340" s="1">
        <v>45908</v>
      </c>
      <c r="C340" t="s">
        <v>10</v>
      </c>
      <c r="D340" t="s">
        <v>11</v>
      </c>
      <c r="E340">
        <v>2</v>
      </c>
      <c r="F340" s="2">
        <v>24100</v>
      </c>
      <c r="G340" s="2">
        <v>10300</v>
      </c>
      <c r="H340" t="s">
        <v>12</v>
      </c>
      <c r="I340" t="s">
        <v>30</v>
      </c>
      <c r="J340" s="2">
        <f>Ventas[[#This Row],[Cantidad]]*Ventas[[#This Row],[Precio_Unitario]]</f>
        <v>48200</v>
      </c>
      <c r="K340" s="2">
        <f>Ventas[[#This Row],[Cantidad]]*Ventas[[#This Row],[Costo_Unitario]]</f>
        <v>20600</v>
      </c>
      <c r="L340" s="2">
        <f>Ventas[[#This Row],[Ventas_Totales]]-Ventas[[#This Row],[Costo_Total]]</f>
        <v>27600</v>
      </c>
    </row>
    <row r="341" spans="1:12">
      <c r="A341" t="s">
        <v>371</v>
      </c>
      <c r="B341" s="1">
        <v>45909</v>
      </c>
      <c r="C341" t="s">
        <v>10</v>
      </c>
      <c r="D341" t="s">
        <v>11</v>
      </c>
      <c r="E341">
        <v>7</v>
      </c>
      <c r="F341" s="2">
        <v>20400</v>
      </c>
      <c r="G341" s="2">
        <v>10000</v>
      </c>
      <c r="H341" t="s">
        <v>19</v>
      </c>
      <c r="I341" t="s">
        <v>30</v>
      </c>
      <c r="J341" s="2">
        <f>Ventas[[#This Row],[Cantidad]]*Ventas[[#This Row],[Precio_Unitario]]</f>
        <v>142800</v>
      </c>
      <c r="K341" s="2">
        <f>Ventas[[#This Row],[Cantidad]]*Ventas[[#This Row],[Costo_Unitario]]</f>
        <v>70000</v>
      </c>
      <c r="L341" s="2">
        <f>Ventas[[#This Row],[Ventas_Totales]]-Ventas[[#This Row],[Costo_Total]]</f>
        <v>72800</v>
      </c>
    </row>
    <row r="342" spans="1:12">
      <c r="A342" t="s">
        <v>372</v>
      </c>
      <c r="B342" s="1">
        <v>45910</v>
      </c>
      <c r="C342" t="s">
        <v>21</v>
      </c>
      <c r="D342" t="s">
        <v>11</v>
      </c>
      <c r="E342">
        <v>1</v>
      </c>
      <c r="F342" s="2">
        <v>43300</v>
      </c>
      <c r="G342" s="2">
        <v>22100</v>
      </c>
      <c r="H342" t="s">
        <v>22</v>
      </c>
      <c r="I342" t="s">
        <v>13</v>
      </c>
      <c r="J342" s="2">
        <f>Ventas[[#This Row],[Cantidad]]*Ventas[[#This Row],[Precio_Unitario]]</f>
        <v>43300</v>
      </c>
      <c r="K342" s="2">
        <f>Ventas[[#This Row],[Cantidad]]*Ventas[[#This Row],[Costo_Unitario]]</f>
        <v>22100</v>
      </c>
      <c r="L342" s="2">
        <f>Ventas[[#This Row],[Ventas_Totales]]-Ventas[[#This Row],[Costo_Total]]</f>
        <v>21200</v>
      </c>
    </row>
    <row r="343" spans="1:12">
      <c r="A343" t="s">
        <v>373</v>
      </c>
      <c r="B343" s="1">
        <v>45912</v>
      </c>
      <c r="C343" t="s">
        <v>10</v>
      </c>
      <c r="D343" t="s">
        <v>11</v>
      </c>
      <c r="E343">
        <v>7</v>
      </c>
      <c r="F343" s="2">
        <v>21700</v>
      </c>
      <c r="G343" s="2">
        <v>10300</v>
      </c>
      <c r="H343" t="s">
        <v>12</v>
      </c>
      <c r="I343" t="s">
        <v>13</v>
      </c>
      <c r="J343" s="2">
        <f>Ventas[[#This Row],[Cantidad]]*Ventas[[#This Row],[Precio_Unitario]]</f>
        <v>151900</v>
      </c>
      <c r="K343" s="2">
        <f>Ventas[[#This Row],[Cantidad]]*Ventas[[#This Row],[Costo_Unitario]]</f>
        <v>72100</v>
      </c>
      <c r="L343" s="2">
        <f>Ventas[[#This Row],[Ventas_Totales]]-Ventas[[#This Row],[Costo_Total]]</f>
        <v>79800</v>
      </c>
    </row>
    <row r="344" spans="1:12">
      <c r="A344" t="s">
        <v>374</v>
      </c>
      <c r="B344" s="1">
        <v>45913</v>
      </c>
      <c r="C344" t="s">
        <v>55</v>
      </c>
      <c r="D344" t="s">
        <v>16</v>
      </c>
      <c r="E344">
        <v>4</v>
      </c>
      <c r="F344" s="2">
        <v>224100</v>
      </c>
      <c r="G344" s="2">
        <v>149100</v>
      </c>
      <c r="H344" t="s">
        <v>17</v>
      </c>
      <c r="I344" t="s">
        <v>13</v>
      </c>
      <c r="J344" s="2">
        <f>Ventas[[#This Row],[Cantidad]]*Ventas[[#This Row],[Precio_Unitario]]</f>
        <v>896400</v>
      </c>
      <c r="K344" s="2">
        <f>Ventas[[#This Row],[Cantidad]]*Ventas[[#This Row],[Costo_Unitario]]</f>
        <v>596400</v>
      </c>
      <c r="L344" s="2">
        <f>Ventas[[#This Row],[Ventas_Totales]]-Ventas[[#This Row],[Costo_Total]]</f>
        <v>300000</v>
      </c>
    </row>
    <row r="345" spans="1:12">
      <c r="A345" t="s">
        <v>375</v>
      </c>
      <c r="B345" s="1">
        <v>45913</v>
      </c>
      <c r="C345" t="s">
        <v>21</v>
      </c>
      <c r="D345" t="s">
        <v>11</v>
      </c>
      <c r="E345">
        <v>4</v>
      </c>
      <c r="F345" s="2">
        <v>42700</v>
      </c>
      <c r="G345" s="2">
        <v>23000</v>
      </c>
      <c r="H345" t="s">
        <v>22</v>
      </c>
      <c r="I345" t="s">
        <v>13</v>
      </c>
      <c r="J345" s="2">
        <f>Ventas[[#This Row],[Cantidad]]*Ventas[[#This Row],[Precio_Unitario]]</f>
        <v>170800</v>
      </c>
      <c r="K345" s="2">
        <f>Ventas[[#This Row],[Cantidad]]*Ventas[[#This Row],[Costo_Unitario]]</f>
        <v>92000</v>
      </c>
      <c r="L345" s="2">
        <f>Ventas[[#This Row],[Ventas_Totales]]-Ventas[[#This Row],[Costo_Total]]</f>
        <v>78800</v>
      </c>
    </row>
    <row r="346" spans="1:12">
      <c r="A346" t="s">
        <v>376</v>
      </c>
      <c r="B346" s="1">
        <v>45914</v>
      </c>
      <c r="C346" t="s">
        <v>55</v>
      </c>
      <c r="D346" t="s">
        <v>16</v>
      </c>
      <c r="E346">
        <v>3</v>
      </c>
      <c r="F346" s="2">
        <v>223500</v>
      </c>
      <c r="G346" s="2">
        <v>147800</v>
      </c>
      <c r="H346" t="s">
        <v>25</v>
      </c>
      <c r="I346" t="s">
        <v>13</v>
      </c>
      <c r="J346" s="2">
        <f>Ventas[[#This Row],[Cantidad]]*Ventas[[#This Row],[Precio_Unitario]]</f>
        <v>670500</v>
      </c>
      <c r="K346" s="2">
        <f>Ventas[[#This Row],[Cantidad]]*Ventas[[#This Row],[Costo_Unitario]]</f>
        <v>443400</v>
      </c>
      <c r="L346" s="2">
        <f>Ventas[[#This Row],[Ventas_Totales]]-Ventas[[#This Row],[Costo_Total]]</f>
        <v>227100</v>
      </c>
    </row>
    <row r="347" spans="1:12">
      <c r="A347" t="s">
        <v>377</v>
      </c>
      <c r="B347" s="1">
        <v>45915</v>
      </c>
      <c r="C347" t="s">
        <v>10</v>
      </c>
      <c r="D347" t="s">
        <v>11</v>
      </c>
      <c r="E347">
        <v>2</v>
      </c>
      <c r="F347" s="2">
        <v>24100</v>
      </c>
      <c r="G347" s="2">
        <v>10000</v>
      </c>
      <c r="H347" t="s">
        <v>19</v>
      </c>
      <c r="I347" t="s">
        <v>72</v>
      </c>
      <c r="J347" s="2">
        <f>Ventas[[#This Row],[Cantidad]]*Ventas[[#This Row],[Precio_Unitario]]</f>
        <v>48200</v>
      </c>
      <c r="K347" s="2">
        <f>Ventas[[#This Row],[Cantidad]]*Ventas[[#This Row],[Costo_Unitario]]</f>
        <v>20000</v>
      </c>
      <c r="L347" s="2">
        <f>Ventas[[#This Row],[Ventas_Totales]]-Ventas[[#This Row],[Costo_Total]]</f>
        <v>28200</v>
      </c>
    </row>
    <row r="348" spans="1:12">
      <c r="A348" t="s">
        <v>378</v>
      </c>
      <c r="B348" s="1">
        <v>45915</v>
      </c>
      <c r="C348" t="s">
        <v>24</v>
      </c>
      <c r="D348" t="s">
        <v>11</v>
      </c>
      <c r="E348">
        <v>4</v>
      </c>
      <c r="F348" s="2">
        <v>46900</v>
      </c>
      <c r="G348" s="2">
        <v>26100</v>
      </c>
      <c r="H348" t="s">
        <v>17</v>
      </c>
      <c r="I348" t="s">
        <v>13</v>
      </c>
      <c r="J348" s="2">
        <f>Ventas[[#This Row],[Cantidad]]*Ventas[[#This Row],[Precio_Unitario]]</f>
        <v>187600</v>
      </c>
      <c r="K348" s="2">
        <f>Ventas[[#This Row],[Cantidad]]*Ventas[[#This Row],[Costo_Unitario]]</f>
        <v>104400</v>
      </c>
      <c r="L348" s="2">
        <f>Ventas[[#This Row],[Ventas_Totales]]-Ventas[[#This Row],[Costo_Total]]</f>
        <v>83200</v>
      </c>
    </row>
    <row r="349" spans="1:12">
      <c r="A349" t="s">
        <v>379</v>
      </c>
      <c r="B349" s="1">
        <v>45916</v>
      </c>
      <c r="C349" t="s">
        <v>15</v>
      </c>
      <c r="D349" t="s">
        <v>16</v>
      </c>
      <c r="E349">
        <v>5</v>
      </c>
      <c r="F349" s="2">
        <v>326100</v>
      </c>
      <c r="G349" s="2">
        <v>216600</v>
      </c>
      <c r="H349" t="s">
        <v>19</v>
      </c>
      <c r="I349" t="s">
        <v>13</v>
      </c>
      <c r="J349" s="2">
        <f>Ventas[[#This Row],[Cantidad]]*Ventas[[#This Row],[Precio_Unitario]]</f>
        <v>1630500</v>
      </c>
      <c r="K349" s="2">
        <f>Ventas[[#This Row],[Cantidad]]*Ventas[[#This Row],[Costo_Unitario]]</f>
        <v>1083000</v>
      </c>
      <c r="L349" s="2">
        <f>Ventas[[#This Row],[Ventas_Totales]]-Ventas[[#This Row],[Costo_Total]]</f>
        <v>547500</v>
      </c>
    </row>
    <row r="350" spans="1:12">
      <c r="A350" t="s">
        <v>380</v>
      </c>
      <c r="B350" s="1">
        <v>45917</v>
      </c>
      <c r="C350" t="s">
        <v>39</v>
      </c>
      <c r="D350" t="s">
        <v>11</v>
      </c>
      <c r="E350">
        <v>6</v>
      </c>
      <c r="F350" s="2">
        <v>33200</v>
      </c>
      <c r="G350" s="2">
        <v>18200</v>
      </c>
      <c r="H350" t="s">
        <v>17</v>
      </c>
      <c r="I350" t="s">
        <v>30</v>
      </c>
      <c r="J350" s="2">
        <f>Ventas[[#This Row],[Cantidad]]*Ventas[[#This Row],[Precio_Unitario]]</f>
        <v>199200</v>
      </c>
      <c r="K350" s="2">
        <f>Ventas[[#This Row],[Cantidad]]*Ventas[[#This Row],[Costo_Unitario]]</f>
        <v>109200</v>
      </c>
      <c r="L350" s="2">
        <f>Ventas[[#This Row],[Ventas_Totales]]-Ventas[[#This Row],[Costo_Total]]</f>
        <v>90000</v>
      </c>
    </row>
    <row r="351" spans="1:12">
      <c r="A351" t="s">
        <v>381</v>
      </c>
      <c r="B351" s="1">
        <v>45917</v>
      </c>
      <c r="C351" t="s">
        <v>39</v>
      </c>
      <c r="D351" t="s">
        <v>11</v>
      </c>
      <c r="E351">
        <v>2</v>
      </c>
      <c r="F351" s="2">
        <v>33700</v>
      </c>
      <c r="G351" s="2">
        <v>17500</v>
      </c>
      <c r="H351" t="s">
        <v>12</v>
      </c>
      <c r="I351" t="s">
        <v>13</v>
      </c>
      <c r="J351" s="2">
        <f>Ventas[[#This Row],[Cantidad]]*Ventas[[#This Row],[Precio_Unitario]]</f>
        <v>67400</v>
      </c>
      <c r="K351" s="2">
        <f>Ventas[[#This Row],[Cantidad]]*Ventas[[#This Row],[Costo_Unitario]]</f>
        <v>35000</v>
      </c>
      <c r="L351" s="2">
        <f>Ventas[[#This Row],[Ventas_Totales]]-Ventas[[#This Row],[Costo_Total]]</f>
        <v>32400</v>
      </c>
    </row>
    <row r="352" spans="1:12">
      <c r="A352" t="s">
        <v>382</v>
      </c>
      <c r="B352" s="1">
        <v>45918</v>
      </c>
      <c r="C352" t="s">
        <v>37</v>
      </c>
      <c r="D352" t="s">
        <v>34</v>
      </c>
      <c r="E352">
        <v>1</v>
      </c>
      <c r="F352" s="2">
        <v>273300</v>
      </c>
      <c r="G352" s="2">
        <v>181300</v>
      </c>
      <c r="H352" t="s">
        <v>17</v>
      </c>
      <c r="I352" t="s">
        <v>13</v>
      </c>
      <c r="J352" s="2">
        <f>Ventas[[#This Row],[Cantidad]]*Ventas[[#This Row],[Precio_Unitario]]</f>
        <v>273300</v>
      </c>
      <c r="K352" s="2">
        <f>Ventas[[#This Row],[Cantidad]]*Ventas[[#This Row],[Costo_Unitario]]</f>
        <v>181300</v>
      </c>
      <c r="L352" s="2">
        <f>Ventas[[#This Row],[Ventas_Totales]]-Ventas[[#This Row],[Costo_Total]]</f>
        <v>92000</v>
      </c>
    </row>
    <row r="353" spans="1:12">
      <c r="A353" t="s">
        <v>383</v>
      </c>
      <c r="B353" s="1">
        <v>45918</v>
      </c>
      <c r="C353" t="s">
        <v>55</v>
      </c>
      <c r="D353" t="s">
        <v>16</v>
      </c>
      <c r="E353">
        <v>4</v>
      </c>
      <c r="F353" s="2">
        <v>219600</v>
      </c>
      <c r="G353" s="2">
        <v>153200</v>
      </c>
      <c r="H353" t="s">
        <v>25</v>
      </c>
      <c r="I353" t="s">
        <v>26</v>
      </c>
      <c r="J353" s="2">
        <f>Ventas[[#This Row],[Cantidad]]*Ventas[[#This Row],[Precio_Unitario]]</f>
        <v>878400</v>
      </c>
      <c r="K353" s="2">
        <f>Ventas[[#This Row],[Cantidad]]*Ventas[[#This Row],[Costo_Unitario]]</f>
        <v>612800</v>
      </c>
      <c r="L353" s="2">
        <f>Ventas[[#This Row],[Ventas_Totales]]-Ventas[[#This Row],[Costo_Total]]</f>
        <v>265600</v>
      </c>
    </row>
    <row r="354" spans="1:12">
      <c r="A354" t="s">
        <v>384</v>
      </c>
      <c r="B354" s="1">
        <v>45919</v>
      </c>
      <c r="C354" t="s">
        <v>24</v>
      </c>
      <c r="D354" t="s">
        <v>11</v>
      </c>
      <c r="E354">
        <v>7</v>
      </c>
      <c r="F354" s="2">
        <v>52600</v>
      </c>
      <c r="G354" s="2">
        <v>25800</v>
      </c>
      <c r="H354" t="s">
        <v>19</v>
      </c>
      <c r="I354" t="s">
        <v>13</v>
      </c>
      <c r="J354" s="2">
        <f>Ventas[[#This Row],[Cantidad]]*Ventas[[#This Row],[Precio_Unitario]]</f>
        <v>368200</v>
      </c>
      <c r="K354" s="2">
        <f>Ventas[[#This Row],[Cantidad]]*Ventas[[#This Row],[Costo_Unitario]]</f>
        <v>180600</v>
      </c>
      <c r="L354" s="2">
        <f>Ventas[[#This Row],[Ventas_Totales]]-Ventas[[#This Row],[Costo_Total]]</f>
        <v>187600</v>
      </c>
    </row>
    <row r="355" spans="1:12">
      <c r="A355" t="s">
        <v>385</v>
      </c>
      <c r="B355" s="1">
        <v>45921</v>
      </c>
      <c r="C355" t="s">
        <v>24</v>
      </c>
      <c r="D355" t="s">
        <v>11</v>
      </c>
      <c r="E355">
        <v>1</v>
      </c>
      <c r="F355" s="2">
        <v>52200</v>
      </c>
      <c r="G355" s="2">
        <v>25500</v>
      </c>
      <c r="H355" t="s">
        <v>17</v>
      </c>
      <c r="I355" t="s">
        <v>13</v>
      </c>
      <c r="J355" s="2">
        <f>Ventas[[#This Row],[Cantidad]]*Ventas[[#This Row],[Precio_Unitario]]</f>
        <v>52200</v>
      </c>
      <c r="K355" s="2">
        <f>Ventas[[#This Row],[Cantidad]]*Ventas[[#This Row],[Costo_Unitario]]</f>
        <v>25500</v>
      </c>
      <c r="L355" s="2">
        <f>Ventas[[#This Row],[Ventas_Totales]]-Ventas[[#This Row],[Costo_Total]]</f>
        <v>26700</v>
      </c>
    </row>
    <row r="356" spans="1:12">
      <c r="A356" t="s">
        <v>386</v>
      </c>
      <c r="B356" s="1">
        <v>45921</v>
      </c>
      <c r="C356" t="s">
        <v>55</v>
      </c>
      <c r="D356" t="s">
        <v>16</v>
      </c>
      <c r="E356">
        <v>7</v>
      </c>
      <c r="F356" s="2">
        <v>219200</v>
      </c>
      <c r="G356" s="2">
        <v>154600</v>
      </c>
      <c r="H356" t="s">
        <v>19</v>
      </c>
      <c r="I356" t="s">
        <v>30</v>
      </c>
      <c r="J356" s="2">
        <f>Ventas[[#This Row],[Cantidad]]*Ventas[[#This Row],[Precio_Unitario]]</f>
        <v>1534400</v>
      </c>
      <c r="K356" s="2">
        <f>Ventas[[#This Row],[Cantidad]]*Ventas[[#This Row],[Costo_Unitario]]</f>
        <v>1082200</v>
      </c>
      <c r="L356" s="2">
        <f>Ventas[[#This Row],[Ventas_Totales]]-Ventas[[#This Row],[Costo_Total]]</f>
        <v>452200</v>
      </c>
    </row>
    <row r="357" spans="1:12">
      <c r="A357" t="s">
        <v>387</v>
      </c>
      <c r="B357" s="1">
        <v>45922</v>
      </c>
      <c r="C357" t="s">
        <v>47</v>
      </c>
      <c r="D357" t="s">
        <v>16</v>
      </c>
      <c r="E357">
        <v>2</v>
      </c>
      <c r="F357" s="2">
        <v>610700</v>
      </c>
      <c r="G357" s="2">
        <v>451700</v>
      </c>
      <c r="H357" t="s">
        <v>17</v>
      </c>
      <c r="I357" t="s">
        <v>72</v>
      </c>
      <c r="J357" s="2">
        <f>Ventas[[#This Row],[Cantidad]]*Ventas[[#This Row],[Precio_Unitario]]</f>
        <v>1221400</v>
      </c>
      <c r="K357" s="2">
        <f>Ventas[[#This Row],[Cantidad]]*Ventas[[#This Row],[Costo_Unitario]]</f>
        <v>903400</v>
      </c>
      <c r="L357" s="2">
        <f>Ventas[[#This Row],[Ventas_Totales]]-Ventas[[#This Row],[Costo_Total]]</f>
        <v>318000</v>
      </c>
    </row>
    <row r="358" spans="1:12">
      <c r="A358" t="s">
        <v>388</v>
      </c>
      <c r="B358" s="1">
        <v>45924</v>
      </c>
      <c r="C358" t="s">
        <v>39</v>
      </c>
      <c r="D358" t="s">
        <v>11</v>
      </c>
      <c r="E358">
        <v>2</v>
      </c>
      <c r="F358" s="2">
        <v>35600</v>
      </c>
      <c r="G358" s="2">
        <v>18400</v>
      </c>
      <c r="H358" t="s">
        <v>22</v>
      </c>
      <c r="I358" t="s">
        <v>72</v>
      </c>
      <c r="J358" s="2">
        <f>Ventas[[#This Row],[Cantidad]]*Ventas[[#This Row],[Precio_Unitario]]</f>
        <v>71200</v>
      </c>
      <c r="K358" s="2">
        <f>Ventas[[#This Row],[Cantidad]]*Ventas[[#This Row],[Costo_Unitario]]</f>
        <v>36800</v>
      </c>
      <c r="L358" s="2">
        <f>Ventas[[#This Row],[Ventas_Totales]]-Ventas[[#This Row],[Costo_Total]]</f>
        <v>34400</v>
      </c>
    </row>
    <row r="359" spans="1:12">
      <c r="A359" t="s">
        <v>389</v>
      </c>
      <c r="B359" s="1">
        <v>45925</v>
      </c>
      <c r="C359" t="s">
        <v>55</v>
      </c>
      <c r="D359" t="s">
        <v>16</v>
      </c>
      <c r="E359">
        <v>3</v>
      </c>
      <c r="F359" s="2">
        <v>208000</v>
      </c>
      <c r="G359" s="2">
        <v>150300</v>
      </c>
      <c r="H359" t="s">
        <v>19</v>
      </c>
      <c r="I359" t="s">
        <v>13</v>
      </c>
      <c r="J359" s="2">
        <f>Ventas[[#This Row],[Cantidad]]*Ventas[[#This Row],[Precio_Unitario]]</f>
        <v>624000</v>
      </c>
      <c r="K359" s="2">
        <f>Ventas[[#This Row],[Cantidad]]*Ventas[[#This Row],[Costo_Unitario]]</f>
        <v>450900</v>
      </c>
      <c r="L359" s="2">
        <f>Ventas[[#This Row],[Ventas_Totales]]-Ventas[[#This Row],[Costo_Total]]</f>
        <v>173100</v>
      </c>
    </row>
    <row r="360" spans="1:12">
      <c r="A360" t="s">
        <v>390</v>
      </c>
      <c r="B360" s="1">
        <v>45925</v>
      </c>
      <c r="C360" t="s">
        <v>55</v>
      </c>
      <c r="D360" t="s">
        <v>16</v>
      </c>
      <c r="E360">
        <v>5</v>
      </c>
      <c r="F360" s="2">
        <v>205300</v>
      </c>
      <c r="G360" s="2">
        <v>145600</v>
      </c>
      <c r="H360" t="s">
        <v>22</v>
      </c>
      <c r="I360" t="s">
        <v>26</v>
      </c>
      <c r="J360" s="2">
        <f>Ventas[[#This Row],[Cantidad]]*Ventas[[#This Row],[Precio_Unitario]]</f>
        <v>1026500</v>
      </c>
      <c r="K360" s="2">
        <f>Ventas[[#This Row],[Cantidad]]*Ventas[[#This Row],[Costo_Unitario]]</f>
        <v>728000</v>
      </c>
      <c r="L360" s="2">
        <f>Ventas[[#This Row],[Ventas_Totales]]-Ventas[[#This Row],[Costo_Total]]</f>
        <v>298500</v>
      </c>
    </row>
    <row r="361" spans="1:12">
      <c r="A361" t="s">
        <v>391</v>
      </c>
      <c r="B361" s="1">
        <v>45925</v>
      </c>
      <c r="C361" t="s">
        <v>55</v>
      </c>
      <c r="D361" t="s">
        <v>16</v>
      </c>
      <c r="E361">
        <v>7</v>
      </c>
      <c r="F361" s="2">
        <v>220400</v>
      </c>
      <c r="G361" s="2">
        <v>154500</v>
      </c>
      <c r="H361" t="s">
        <v>12</v>
      </c>
      <c r="I361" t="s">
        <v>13</v>
      </c>
      <c r="J361" s="2">
        <f>Ventas[[#This Row],[Cantidad]]*Ventas[[#This Row],[Precio_Unitario]]</f>
        <v>1542800</v>
      </c>
      <c r="K361" s="2">
        <f>Ventas[[#This Row],[Cantidad]]*Ventas[[#This Row],[Costo_Unitario]]</f>
        <v>1081500</v>
      </c>
      <c r="L361" s="2">
        <f>Ventas[[#This Row],[Ventas_Totales]]-Ventas[[#This Row],[Costo_Total]]</f>
        <v>461300</v>
      </c>
    </row>
    <row r="362" spans="1:12">
      <c r="A362" t="s">
        <v>392</v>
      </c>
      <c r="B362" s="1">
        <v>45926</v>
      </c>
      <c r="C362" t="s">
        <v>10</v>
      </c>
      <c r="D362" t="s">
        <v>11</v>
      </c>
      <c r="E362">
        <v>2</v>
      </c>
      <c r="F362" s="2">
        <v>23500</v>
      </c>
      <c r="G362" s="2">
        <v>9900</v>
      </c>
      <c r="H362" t="s">
        <v>25</v>
      </c>
      <c r="I362" t="s">
        <v>13</v>
      </c>
      <c r="J362" s="2">
        <f>Ventas[[#This Row],[Cantidad]]*Ventas[[#This Row],[Precio_Unitario]]</f>
        <v>47000</v>
      </c>
      <c r="K362" s="2">
        <f>Ventas[[#This Row],[Cantidad]]*Ventas[[#This Row],[Costo_Unitario]]</f>
        <v>19800</v>
      </c>
      <c r="L362" s="2">
        <f>Ventas[[#This Row],[Ventas_Totales]]-Ventas[[#This Row],[Costo_Total]]</f>
        <v>27200</v>
      </c>
    </row>
    <row r="363" spans="1:12">
      <c r="A363" t="s">
        <v>393</v>
      </c>
      <c r="B363" s="1">
        <v>45926</v>
      </c>
      <c r="C363" t="s">
        <v>39</v>
      </c>
      <c r="D363" t="s">
        <v>11</v>
      </c>
      <c r="E363">
        <v>4</v>
      </c>
      <c r="F363" s="2">
        <v>35800</v>
      </c>
      <c r="G363" s="2">
        <v>17400</v>
      </c>
      <c r="H363" t="s">
        <v>25</v>
      </c>
      <c r="I363" t="s">
        <v>64</v>
      </c>
      <c r="J363" s="2">
        <f>Ventas[[#This Row],[Cantidad]]*Ventas[[#This Row],[Precio_Unitario]]</f>
        <v>143200</v>
      </c>
      <c r="K363" s="2">
        <f>Ventas[[#This Row],[Cantidad]]*Ventas[[#This Row],[Costo_Unitario]]</f>
        <v>69600</v>
      </c>
      <c r="L363" s="2">
        <f>Ventas[[#This Row],[Ventas_Totales]]-Ventas[[#This Row],[Costo_Total]]</f>
        <v>73600</v>
      </c>
    </row>
    <row r="364" spans="1:12">
      <c r="A364" t="s">
        <v>394</v>
      </c>
      <c r="B364" s="1">
        <v>45927</v>
      </c>
      <c r="C364" t="s">
        <v>47</v>
      </c>
      <c r="D364" t="s">
        <v>16</v>
      </c>
      <c r="E364">
        <v>3</v>
      </c>
      <c r="F364" s="2">
        <v>607200</v>
      </c>
      <c r="G364" s="2">
        <v>465700</v>
      </c>
      <c r="H364" t="s">
        <v>25</v>
      </c>
      <c r="I364" t="s">
        <v>13</v>
      </c>
      <c r="J364" s="2">
        <f>Ventas[[#This Row],[Cantidad]]*Ventas[[#This Row],[Precio_Unitario]]</f>
        <v>1821600</v>
      </c>
      <c r="K364" s="2">
        <f>Ventas[[#This Row],[Cantidad]]*Ventas[[#This Row],[Costo_Unitario]]</f>
        <v>1397100</v>
      </c>
      <c r="L364" s="2">
        <f>Ventas[[#This Row],[Ventas_Totales]]-Ventas[[#This Row],[Costo_Total]]</f>
        <v>424500</v>
      </c>
    </row>
    <row r="365" spans="1:12">
      <c r="A365" t="s">
        <v>395</v>
      </c>
      <c r="B365" s="1">
        <v>45927</v>
      </c>
      <c r="C365" t="s">
        <v>33</v>
      </c>
      <c r="D365" t="s">
        <v>34</v>
      </c>
      <c r="E365">
        <v>1</v>
      </c>
      <c r="F365" s="2">
        <v>194200</v>
      </c>
      <c r="G365" s="2">
        <v>117100</v>
      </c>
      <c r="H365" t="s">
        <v>22</v>
      </c>
      <c r="I365" t="s">
        <v>26</v>
      </c>
      <c r="J365" s="2">
        <f>Ventas[[#This Row],[Cantidad]]*Ventas[[#This Row],[Precio_Unitario]]</f>
        <v>194200</v>
      </c>
      <c r="K365" s="2">
        <f>Ventas[[#This Row],[Cantidad]]*Ventas[[#This Row],[Costo_Unitario]]</f>
        <v>117100</v>
      </c>
      <c r="L365" s="2">
        <f>Ventas[[#This Row],[Ventas_Totales]]-Ventas[[#This Row],[Costo_Total]]</f>
        <v>77100</v>
      </c>
    </row>
    <row r="366" spans="1:12">
      <c r="A366" t="s">
        <v>396</v>
      </c>
      <c r="B366" s="1">
        <v>45928</v>
      </c>
      <c r="C366" t="s">
        <v>33</v>
      </c>
      <c r="D366" t="s">
        <v>34</v>
      </c>
      <c r="E366">
        <v>5</v>
      </c>
      <c r="F366" s="2">
        <v>184600</v>
      </c>
      <c r="G366" s="2">
        <v>117600</v>
      </c>
      <c r="H366" t="s">
        <v>25</v>
      </c>
      <c r="I366" t="s">
        <v>13</v>
      </c>
      <c r="J366" s="2">
        <f>Ventas[[#This Row],[Cantidad]]*Ventas[[#This Row],[Precio_Unitario]]</f>
        <v>923000</v>
      </c>
      <c r="K366" s="2">
        <f>Ventas[[#This Row],[Cantidad]]*Ventas[[#This Row],[Costo_Unitario]]</f>
        <v>588000</v>
      </c>
      <c r="L366" s="2">
        <f>Ventas[[#This Row],[Ventas_Totales]]-Ventas[[#This Row],[Costo_Total]]</f>
        <v>335000</v>
      </c>
    </row>
    <row r="367" spans="1:12">
      <c r="A367" t="s">
        <v>397</v>
      </c>
      <c r="B367" s="1">
        <v>45928</v>
      </c>
      <c r="C367" t="s">
        <v>15</v>
      </c>
      <c r="D367" t="s">
        <v>16</v>
      </c>
      <c r="E367">
        <v>1</v>
      </c>
      <c r="F367" s="2">
        <v>335300</v>
      </c>
      <c r="G367" s="2">
        <v>233900</v>
      </c>
      <c r="H367" t="s">
        <v>22</v>
      </c>
      <c r="I367" t="s">
        <v>13</v>
      </c>
      <c r="J367" s="2">
        <f>Ventas[[#This Row],[Cantidad]]*Ventas[[#This Row],[Precio_Unitario]]</f>
        <v>335300</v>
      </c>
      <c r="K367" s="2">
        <f>Ventas[[#This Row],[Cantidad]]*Ventas[[#This Row],[Costo_Unitario]]</f>
        <v>233900</v>
      </c>
      <c r="L367" s="2">
        <f>Ventas[[#This Row],[Ventas_Totales]]-Ventas[[#This Row],[Costo_Total]]</f>
        <v>101400</v>
      </c>
    </row>
    <row r="368" spans="1:12">
      <c r="A368" t="s">
        <v>398</v>
      </c>
      <c r="B368" s="1">
        <v>45929</v>
      </c>
      <c r="C368" t="s">
        <v>55</v>
      </c>
      <c r="D368" t="s">
        <v>16</v>
      </c>
      <c r="E368">
        <v>2</v>
      </c>
      <c r="F368" s="2">
        <v>221900</v>
      </c>
      <c r="G368" s="2">
        <v>150300</v>
      </c>
      <c r="H368" t="s">
        <v>17</v>
      </c>
      <c r="I368" t="s">
        <v>13</v>
      </c>
      <c r="J368" s="2">
        <f>Ventas[[#This Row],[Cantidad]]*Ventas[[#This Row],[Precio_Unitario]]</f>
        <v>443800</v>
      </c>
      <c r="K368" s="2">
        <f>Ventas[[#This Row],[Cantidad]]*Ventas[[#This Row],[Costo_Unitario]]</f>
        <v>300600</v>
      </c>
      <c r="L368" s="2">
        <f>Ventas[[#This Row],[Ventas_Totales]]-Ventas[[#This Row],[Costo_Total]]</f>
        <v>143200</v>
      </c>
    </row>
    <row r="369" spans="1:12">
      <c r="A369" t="s">
        <v>399</v>
      </c>
      <c r="B369" s="1">
        <v>45929</v>
      </c>
      <c r="C369" t="s">
        <v>10</v>
      </c>
      <c r="D369" t="s">
        <v>11</v>
      </c>
      <c r="E369">
        <v>2</v>
      </c>
      <c r="F369" s="2">
        <v>21800</v>
      </c>
      <c r="G369" s="2">
        <v>10200</v>
      </c>
      <c r="H369" t="s">
        <v>17</v>
      </c>
      <c r="I369" t="s">
        <v>26</v>
      </c>
      <c r="J369" s="2">
        <f>Ventas[[#This Row],[Cantidad]]*Ventas[[#This Row],[Precio_Unitario]]</f>
        <v>43600</v>
      </c>
      <c r="K369" s="2">
        <f>Ventas[[#This Row],[Cantidad]]*Ventas[[#This Row],[Costo_Unitario]]</f>
        <v>20400</v>
      </c>
      <c r="L369" s="2">
        <f>Ventas[[#This Row],[Ventas_Totales]]-Ventas[[#This Row],[Costo_Total]]</f>
        <v>23200</v>
      </c>
    </row>
    <row r="370" spans="1:12">
      <c r="A370" t="s">
        <v>400</v>
      </c>
      <c r="B370" s="1">
        <v>45931</v>
      </c>
      <c r="C370" t="s">
        <v>66</v>
      </c>
      <c r="D370" t="s">
        <v>34</v>
      </c>
      <c r="E370">
        <v>7</v>
      </c>
      <c r="F370" s="2">
        <v>26200</v>
      </c>
      <c r="G370" s="2">
        <v>13600</v>
      </c>
      <c r="H370" t="s">
        <v>12</v>
      </c>
      <c r="I370" t="s">
        <v>13</v>
      </c>
      <c r="J370" s="2">
        <f>Ventas[[#This Row],[Cantidad]]*Ventas[[#This Row],[Precio_Unitario]]</f>
        <v>183400</v>
      </c>
      <c r="K370" s="2">
        <f>Ventas[[#This Row],[Cantidad]]*Ventas[[#This Row],[Costo_Unitario]]</f>
        <v>95200</v>
      </c>
      <c r="L370" s="2">
        <f>Ventas[[#This Row],[Ventas_Totales]]-Ventas[[#This Row],[Costo_Total]]</f>
        <v>88200</v>
      </c>
    </row>
    <row r="371" spans="1:12">
      <c r="A371" t="s">
        <v>401</v>
      </c>
      <c r="B371" s="1">
        <v>45932</v>
      </c>
      <c r="C371" t="s">
        <v>33</v>
      </c>
      <c r="D371" t="s">
        <v>34</v>
      </c>
      <c r="E371">
        <v>4</v>
      </c>
      <c r="F371" s="2">
        <v>183800</v>
      </c>
      <c r="G371" s="2">
        <v>115100</v>
      </c>
      <c r="H371" t="s">
        <v>17</v>
      </c>
      <c r="I371" t="s">
        <v>72</v>
      </c>
      <c r="J371" s="2">
        <f>Ventas[[#This Row],[Cantidad]]*Ventas[[#This Row],[Precio_Unitario]]</f>
        <v>735200</v>
      </c>
      <c r="K371" s="2">
        <f>Ventas[[#This Row],[Cantidad]]*Ventas[[#This Row],[Costo_Unitario]]</f>
        <v>460400</v>
      </c>
      <c r="L371" s="2">
        <f>Ventas[[#This Row],[Ventas_Totales]]-Ventas[[#This Row],[Costo_Total]]</f>
        <v>274800</v>
      </c>
    </row>
    <row r="372" spans="1:12">
      <c r="A372" t="s">
        <v>402</v>
      </c>
      <c r="B372" s="1">
        <v>45932</v>
      </c>
      <c r="C372" t="s">
        <v>21</v>
      </c>
      <c r="D372" t="s">
        <v>11</v>
      </c>
      <c r="E372">
        <v>7</v>
      </c>
      <c r="F372" s="2">
        <v>44900</v>
      </c>
      <c r="G372" s="2">
        <v>22600</v>
      </c>
      <c r="H372" t="s">
        <v>12</v>
      </c>
      <c r="I372" t="s">
        <v>13</v>
      </c>
      <c r="J372" s="2">
        <f>Ventas[[#This Row],[Cantidad]]*Ventas[[#This Row],[Precio_Unitario]]</f>
        <v>314300</v>
      </c>
      <c r="K372" s="2">
        <f>Ventas[[#This Row],[Cantidad]]*Ventas[[#This Row],[Costo_Unitario]]</f>
        <v>158200</v>
      </c>
      <c r="L372" s="2">
        <f>Ventas[[#This Row],[Ventas_Totales]]-Ventas[[#This Row],[Costo_Total]]</f>
        <v>156100</v>
      </c>
    </row>
    <row r="373" spans="1:12">
      <c r="A373" t="s">
        <v>403</v>
      </c>
      <c r="B373" s="1">
        <v>45933</v>
      </c>
      <c r="C373" t="s">
        <v>39</v>
      </c>
      <c r="D373" t="s">
        <v>11</v>
      </c>
      <c r="E373">
        <v>6</v>
      </c>
      <c r="F373" s="2">
        <v>33300</v>
      </c>
      <c r="G373" s="2">
        <v>18500</v>
      </c>
      <c r="H373" t="s">
        <v>19</v>
      </c>
      <c r="I373" t="s">
        <v>13</v>
      </c>
      <c r="J373" s="2">
        <f>Ventas[[#This Row],[Cantidad]]*Ventas[[#This Row],[Precio_Unitario]]</f>
        <v>199800</v>
      </c>
      <c r="K373" s="2">
        <f>Ventas[[#This Row],[Cantidad]]*Ventas[[#This Row],[Costo_Unitario]]</f>
        <v>111000</v>
      </c>
      <c r="L373" s="2">
        <f>Ventas[[#This Row],[Ventas_Totales]]-Ventas[[#This Row],[Costo_Total]]</f>
        <v>88800</v>
      </c>
    </row>
    <row r="374" spans="1:12">
      <c r="A374" t="s">
        <v>404</v>
      </c>
      <c r="B374" s="1">
        <v>45934</v>
      </c>
      <c r="C374" t="s">
        <v>15</v>
      </c>
      <c r="D374" t="s">
        <v>16</v>
      </c>
      <c r="E374">
        <v>6</v>
      </c>
      <c r="F374" s="2">
        <v>295100</v>
      </c>
      <c r="G374" s="2">
        <v>227800</v>
      </c>
      <c r="H374" t="s">
        <v>25</v>
      </c>
      <c r="I374" t="s">
        <v>64</v>
      </c>
      <c r="J374" s="2">
        <f>Ventas[[#This Row],[Cantidad]]*Ventas[[#This Row],[Precio_Unitario]]</f>
        <v>1770600</v>
      </c>
      <c r="K374" s="2">
        <f>Ventas[[#This Row],[Cantidad]]*Ventas[[#This Row],[Costo_Unitario]]</f>
        <v>1366800</v>
      </c>
      <c r="L374" s="2">
        <f>Ventas[[#This Row],[Ventas_Totales]]-Ventas[[#This Row],[Costo_Total]]</f>
        <v>403800</v>
      </c>
    </row>
    <row r="375" spans="1:12">
      <c r="A375" t="s">
        <v>405</v>
      </c>
      <c r="B375" s="1">
        <v>45935</v>
      </c>
      <c r="C375" t="s">
        <v>37</v>
      </c>
      <c r="D375" t="s">
        <v>34</v>
      </c>
      <c r="E375">
        <v>1</v>
      </c>
      <c r="F375" s="2">
        <v>240300</v>
      </c>
      <c r="G375" s="2">
        <v>168800</v>
      </c>
      <c r="H375" t="s">
        <v>25</v>
      </c>
      <c r="I375" t="s">
        <v>13</v>
      </c>
      <c r="J375" s="2">
        <f>Ventas[[#This Row],[Cantidad]]*Ventas[[#This Row],[Precio_Unitario]]</f>
        <v>240300</v>
      </c>
      <c r="K375" s="2">
        <f>Ventas[[#This Row],[Cantidad]]*Ventas[[#This Row],[Costo_Unitario]]</f>
        <v>168800</v>
      </c>
      <c r="L375" s="2">
        <f>Ventas[[#This Row],[Ventas_Totales]]-Ventas[[#This Row],[Costo_Total]]</f>
        <v>71500</v>
      </c>
    </row>
    <row r="376" spans="1:12">
      <c r="A376" t="s">
        <v>406</v>
      </c>
      <c r="B376" s="1">
        <v>45935</v>
      </c>
      <c r="C376" t="s">
        <v>10</v>
      </c>
      <c r="D376" t="s">
        <v>11</v>
      </c>
      <c r="E376">
        <v>2</v>
      </c>
      <c r="F376" s="2">
        <v>23600</v>
      </c>
      <c r="G376" s="2">
        <v>9700</v>
      </c>
      <c r="H376" t="s">
        <v>25</v>
      </c>
      <c r="I376" t="s">
        <v>26</v>
      </c>
      <c r="J376" s="2">
        <f>Ventas[[#This Row],[Cantidad]]*Ventas[[#This Row],[Precio_Unitario]]</f>
        <v>47200</v>
      </c>
      <c r="K376" s="2">
        <f>Ventas[[#This Row],[Cantidad]]*Ventas[[#This Row],[Costo_Unitario]]</f>
        <v>19400</v>
      </c>
      <c r="L376" s="2">
        <f>Ventas[[#This Row],[Ventas_Totales]]-Ventas[[#This Row],[Costo_Total]]</f>
        <v>27800</v>
      </c>
    </row>
    <row r="377" spans="1:12">
      <c r="A377" t="s">
        <v>407</v>
      </c>
      <c r="B377" s="1">
        <v>45936</v>
      </c>
      <c r="C377" t="s">
        <v>33</v>
      </c>
      <c r="D377" t="s">
        <v>34</v>
      </c>
      <c r="E377">
        <v>7</v>
      </c>
      <c r="F377" s="2">
        <v>182500</v>
      </c>
      <c r="G377" s="2">
        <v>113000</v>
      </c>
      <c r="H377" t="s">
        <v>25</v>
      </c>
      <c r="I377" t="s">
        <v>26</v>
      </c>
      <c r="J377" s="2">
        <f>Ventas[[#This Row],[Cantidad]]*Ventas[[#This Row],[Precio_Unitario]]</f>
        <v>1277500</v>
      </c>
      <c r="K377" s="2">
        <f>Ventas[[#This Row],[Cantidad]]*Ventas[[#This Row],[Costo_Unitario]]</f>
        <v>791000</v>
      </c>
      <c r="L377" s="2">
        <f>Ventas[[#This Row],[Ventas_Totales]]-Ventas[[#This Row],[Costo_Total]]</f>
        <v>486500</v>
      </c>
    </row>
    <row r="378" spans="1:12">
      <c r="A378" t="s">
        <v>408</v>
      </c>
      <c r="B378" s="1">
        <v>45936</v>
      </c>
      <c r="C378" t="s">
        <v>33</v>
      </c>
      <c r="D378" t="s">
        <v>34</v>
      </c>
      <c r="E378">
        <v>6</v>
      </c>
      <c r="F378" s="2">
        <v>167000</v>
      </c>
      <c r="G378" s="2">
        <v>110400</v>
      </c>
      <c r="H378" t="s">
        <v>12</v>
      </c>
      <c r="I378" t="s">
        <v>72</v>
      </c>
      <c r="J378" s="2">
        <f>Ventas[[#This Row],[Cantidad]]*Ventas[[#This Row],[Precio_Unitario]]</f>
        <v>1002000</v>
      </c>
      <c r="K378" s="2">
        <f>Ventas[[#This Row],[Cantidad]]*Ventas[[#This Row],[Costo_Unitario]]</f>
        <v>662400</v>
      </c>
      <c r="L378" s="2">
        <f>Ventas[[#This Row],[Ventas_Totales]]-Ventas[[#This Row],[Costo_Total]]</f>
        <v>339600</v>
      </c>
    </row>
    <row r="379" spans="1:12">
      <c r="A379" t="s">
        <v>409</v>
      </c>
      <c r="B379" s="1">
        <v>45938</v>
      </c>
      <c r="C379" t="s">
        <v>39</v>
      </c>
      <c r="D379" t="s">
        <v>11</v>
      </c>
      <c r="E379">
        <v>5</v>
      </c>
      <c r="F379" s="2">
        <v>38100</v>
      </c>
      <c r="G379" s="2">
        <v>18700</v>
      </c>
      <c r="H379" t="s">
        <v>19</v>
      </c>
      <c r="I379" t="s">
        <v>26</v>
      </c>
      <c r="J379" s="2">
        <f>Ventas[[#This Row],[Cantidad]]*Ventas[[#This Row],[Precio_Unitario]]</f>
        <v>190500</v>
      </c>
      <c r="K379" s="2">
        <f>Ventas[[#This Row],[Cantidad]]*Ventas[[#This Row],[Costo_Unitario]]</f>
        <v>93500</v>
      </c>
      <c r="L379" s="2">
        <f>Ventas[[#This Row],[Ventas_Totales]]-Ventas[[#This Row],[Costo_Total]]</f>
        <v>97000</v>
      </c>
    </row>
    <row r="380" spans="1:12">
      <c r="A380" t="s">
        <v>410</v>
      </c>
      <c r="B380" s="1">
        <v>45939</v>
      </c>
      <c r="C380" t="s">
        <v>33</v>
      </c>
      <c r="D380" t="s">
        <v>34</v>
      </c>
      <c r="E380">
        <v>7</v>
      </c>
      <c r="F380" s="2">
        <v>193500</v>
      </c>
      <c r="G380" s="2">
        <v>119000</v>
      </c>
      <c r="H380" t="s">
        <v>25</v>
      </c>
      <c r="I380" t="s">
        <v>13</v>
      </c>
      <c r="J380" s="2">
        <f>Ventas[[#This Row],[Cantidad]]*Ventas[[#This Row],[Precio_Unitario]]</f>
        <v>1354500</v>
      </c>
      <c r="K380" s="2">
        <f>Ventas[[#This Row],[Cantidad]]*Ventas[[#This Row],[Costo_Unitario]]</f>
        <v>833000</v>
      </c>
      <c r="L380" s="2">
        <f>Ventas[[#This Row],[Ventas_Totales]]-Ventas[[#This Row],[Costo_Total]]</f>
        <v>521500</v>
      </c>
    </row>
    <row r="381" spans="1:12">
      <c r="A381" t="s">
        <v>411</v>
      </c>
      <c r="B381" s="1">
        <v>45939</v>
      </c>
      <c r="C381" t="s">
        <v>37</v>
      </c>
      <c r="D381" t="s">
        <v>34</v>
      </c>
      <c r="E381">
        <v>2</v>
      </c>
      <c r="F381" s="2">
        <v>259800</v>
      </c>
      <c r="G381" s="2">
        <v>181800</v>
      </c>
      <c r="H381" t="s">
        <v>17</v>
      </c>
      <c r="I381" t="s">
        <v>26</v>
      </c>
      <c r="J381" s="2">
        <f>Ventas[[#This Row],[Cantidad]]*Ventas[[#This Row],[Precio_Unitario]]</f>
        <v>519600</v>
      </c>
      <c r="K381" s="2">
        <f>Ventas[[#This Row],[Cantidad]]*Ventas[[#This Row],[Costo_Unitario]]</f>
        <v>363600</v>
      </c>
      <c r="L381" s="2">
        <f>Ventas[[#This Row],[Ventas_Totales]]-Ventas[[#This Row],[Costo_Total]]</f>
        <v>156000</v>
      </c>
    </row>
    <row r="382" spans="1:12">
      <c r="A382" t="s">
        <v>412</v>
      </c>
      <c r="B382" s="1">
        <v>45940</v>
      </c>
      <c r="C382" t="s">
        <v>24</v>
      </c>
      <c r="D382" t="s">
        <v>11</v>
      </c>
      <c r="E382">
        <v>2</v>
      </c>
      <c r="F382" s="2">
        <v>50400</v>
      </c>
      <c r="G382" s="2">
        <v>25100</v>
      </c>
      <c r="H382" t="s">
        <v>12</v>
      </c>
      <c r="I382" t="s">
        <v>13</v>
      </c>
      <c r="J382" s="2">
        <f>Ventas[[#This Row],[Cantidad]]*Ventas[[#This Row],[Precio_Unitario]]</f>
        <v>100800</v>
      </c>
      <c r="K382" s="2">
        <f>Ventas[[#This Row],[Cantidad]]*Ventas[[#This Row],[Costo_Unitario]]</f>
        <v>50200</v>
      </c>
      <c r="L382" s="2">
        <f>Ventas[[#This Row],[Ventas_Totales]]-Ventas[[#This Row],[Costo_Total]]</f>
        <v>50600</v>
      </c>
    </row>
    <row r="383" spans="1:12">
      <c r="A383" t="s">
        <v>413</v>
      </c>
      <c r="B383" s="1">
        <v>45940</v>
      </c>
      <c r="C383" t="s">
        <v>39</v>
      </c>
      <c r="D383" t="s">
        <v>11</v>
      </c>
      <c r="E383">
        <v>2</v>
      </c>
      <c r="F383" s="2">
        <v>35300</v>
      </c>
      <c r="G383" s="2">
        <v>17900</v>
      </c>
      <c r="H383" t="s">
        <v>12</v>
      </c>
      <c r="I383" t="s">
        <v>30</v>
      </c>
      <c r="J383" s="2">
        <f>Ventas[[#This Row],[Cantidad]]*Ventas[[#This Row],[Precio_Unitario]]</f>
        <v>70600</v>
      </c>
      <c r="K383" s="2">
        <f>Ventas[[#This Row],[Cantidad]]*Ventas[[#This Row],[Costo_Unitario]]</f>
        <v>35800</v>
      </c>
      <c r="L383" s="2">
        <f>Ventas[[#This Row],[Ventas_Totales]]-Ventas[[#This Row],[Costo_Total]]</f>
        <v>34800</v>
      </c>
    </row>
    <row r="384" spans="1:12">
      <c r="A384" t="s">
        <v>414</v>
      </c>
      <c r="B384" s="1">
        <v>45941</v>
      </c>
      <c r="C384" t="s">
        <v>21</v>
      </c>
      <c r="D384" t="s">
        <v>11</v>
      </c>
      <c r="E384">
        <v>6</v>
      </c>
      <c r="F384" s="2">
        <v>44200</v>
      </c>
      <c r="G384" s="2">
        <v>22500</v>
      </c>
      <c r="H384" t="s">
        <v>12</v>
      </c>
      <c r="I384" t="s">
        <v>72</v>
      </c>
      <c r="J384" s="2">
        <f>Ventas[[#This Row],[Cantidad]]*Ventas[[#This Row],[Precio_Unitario]]</f>
        <v>265200</v>
      </c>
      <c r="K384" s="2">
        <f>Ventas[[#This Row],[Cantidad]]*Ventas[[#This Row],[Costo_Unitario]]</f>
        <v>135000</v>
      </c>
      <c r="L384" s="2">
        <f>Ventas[[#This Row],[Ventas_Totales]]-Ventas[[#This Row],[Costo_Total]]</f>
        <v>130200</v>
      </c>
    </row>
    <row r="385" spans="1:12">
      <c r="A385" t="s">
        <v>415</v>
      </c>
      <c r="B385" s="1">
        <v>45941</v>
      </c>
      <c r="C385" t="s">
        <v>15</v>
      </c>
      <c r="D385" t="s">
        <v>16</v>
      </c>
      <c r="E385">
        <v>6</v>
      </c>
      <c r="F385" s="2">
        <v>321800</v>
      </c>
      <c r="G385" s="2">
        <v>217700</v>
      </c>
      <c r="H385" t="s">
        <v>22</v>
      </c>
      <c r="I385" t="s">
        <v>64</v>
      </c>
      <c r="J385" s="2">
        <f>Ventas[[#This Row],[Cantidad]]*Ventas[[#This Row],[Precio_Unitario]]</f>
        <v>1930800</v>
      </c>
      <c r="K385" s="2">
        <f>Ventas[[#This Row],[Cantidad]]*Ventas[[#This Row],[Costo_Unitario]]</f>
        <v>1306200</v>
      </c>
      <c r="L385" s="2">
        <f>Ventas[[#This Row],[Ventas_Totales]]-Ventas[[#This Row],[Costo_Total]]</f>
        <v>624600</v>
      </c>
    </row>
    <row r="386" spans="1:12">
      <c r="A386" t="s">
        <v>416</v>
      </c>
      <c r="B386" s="1">
        <v>45942</v>
      </c>
      <c r="C386" t="s">
        <v>10</v>
      </c>
      <c r="D386" t="s">
        <v>11</v>
      </c>
      <c r="E386">
        <v>5</v>
      </c>
      <c r="F386" s="2">
        <v>21200</v>
      </c>
      <c r="G386" s="2">
        <v>9900</v>
      </c>
      <c r="H386" t="s">
        <v>17</v>
      </c>
      <c r="I386" t="s">
        <v>26</v>
      </c>
      <c r="J386" s="2">
        <f>Ventas[[#This Row],[Cantidad]]*Ventas[[#This Row],[Precio_Unitario]]</f>
        <v>106000</v>
      </c>
      <c r="K386" s="2">
        <f>Ventas[[#This Row],[Cantidad]]*Ventas[[#This Row],[Costo_Unitario]]</f>
        <v>49500</v>
      </c>
      <c r="L386" s="2">
        <f>Ventas[[#This Row],[Ventas_Totales]]-Ventas[[#This Row],[Costo_Total]]</f>
        <v>56500</v>
      </c>
    </row>
    <row r="387" spans="1:12">
      <c r="A387" t="s">
        <v>417</v>
      </c>
      <c r="B387" s="1">
        <v>45942</v>
      </c>
      <c r="C387" t="s">
        <v>10</v>
      </c>
      <c r="D387" t="s">
        <v>11</v>
      </c>
      <c r="E387">
        <v>7</v>
      </c>
      <c r="F387" s="2">
        <v>23300</v>
      </c>
      <c r="G387" s="2">
        <v>9900</v>
      </c>
      <c r="H387" t="s">
        <v>19</v>
      </c>
      <c r="I387" t="s">
        <v>30</v>
      </c>
      <c r="J387" s="2">
        <f>Ventas[[#This Row],[Cantidad]]*Ventas[[#This Row],[Precio_Unitario]]</f>
        <v>163100</v>
      </c>
      <c r="K387" s="2">
        <f>Ventas[[#This Row],[Cantidad]]*Ventas[[#This Row],[Costo_Unitario]]</f>
        <v>69300</v>
      </c>
      <c r="L387" s="2">
        <f>Ventas[[#This Row],[Ventas_Totales]]-Ventas[[#This Row],[Costo_Total]]</f>
        <v>93800</v>
      </c>
    </row>
    <row r="388" spans="1:12">
      <c r="A388" t="s">
        <v>418</v>
      </c>
      <c r="B388" s="1">
        <v>45942</v>
      </c>
      <c r="C388" t="s">
        <v>33</v>
      </c>
      <c r="D388" t="s">
        <v>34</v>
      </c>
      <c r="E388">
        <v>2</v>
      </c>
      <c r="F388" s="2">
        <v>173400</v>
      </c>
      <c r="G388" s="2">
        <v>111200</v>
      </c>
      <c r="H388" t="s">
        <v>25</v>
      </c>
      <c r="I388" t="s">
        <v>64</v>
      </c>
      <c r="J388" s="2">
        <f>Ventas[[#This Row],[Cantidad]]*Ventas[[#This Row],[Precio_Unitario]]</f>
        <v>346800</v>
      </c>
      <c r="K388" s="2">
        <f>Ventas[[#This Row],[Cantidad]]*Ventas[[#This Row],[Costo_Unitario]]</f>
        <v>222400</v>
      </c>
      <c r="L388" s="2">
        <f>Ventas[[#This Row],[Ventas_Totales]]-Ventas[[#This Row],[Costo_Total]]</f>
        <v>124400</v>
      </c>
    </row>
    <row r="389" spans="1:12">
      <c r="A389" t="s">
        <v>419</v>
      </c>
      <c r="B389" s="1">
        <v>45943</v>
      </c>
      <c r="C389" t="s">
        <v>37</v>
      </c>
      <c r="D389" t="s">
        <v>34</v>
      </c>
      <c r="E389">
        <v>4</v>
      </c>
      <c r="F389" s="2">
        <v>251200</v>
      </c>
      <c r="G389" s="2">
        <v>175000</v>
      </c>
      <c r="H389" t="s">
        <v>22</v>
      </c>
      <c r="I389" t="s">
        <v>30</v>
      </c>
      <c r="J389" s="2">
        <f>Ventas[[#This Row],[Cantidad]]*Ventas[[#This Row],[Precio_Unitario]]</f>
        <v>1004800</v>
      </c>
      <c r="K389" s="2">
        <f>Ventas[[#This Row],[Cantidad]]*Ventas[[#This Row],[Costo_Unitario]]</f>
        <v>700000</v>
      </c>
      <c r="L389" s="2">
        <f>Ventas[[#This Row],[Ventas_Totales]]-Ventas[[#This Row],[Costo_Total]]</f>
        <v>304800</v>
      </c>
    </row>
    <row r="390" spans="1:12">
      <c r="A390" t="s">
        <v>420</v>
      </c>
      <c r="B390" s="1">
        <v>45944</v>
      </c>
      <c r="C390" t="s">
        <v>47</v>
      </c>
      <c r="D390" t="s">
        <v>16</v>
      </c>
      <c r="E390">
        <v>4</v>
      </c>
      <c r="F390" s="2">
        <v>706400</v>
      </c>
      <c r="G390" s="2">
        <v>452200</v>
      </c>
      <c r="H390" t="s">
        <v>17</v>
      </c>
      <c r="I390" t="s">
        <v>64</v>
      </c>
      <c r="J390" s="2">
        <f>Ventas[[#This Row],[Cantidad]]*Ventas[[#This Row],[Precio_Unitario]]</f>
        <v>2825600</v>
      </c>
      <c r="K390" s="2">
        <f>Ventas[[#This Row],[Cantidad]]*Ventas[[#This Row],[Costo_Unitario]]</f>
        <v>1808800</v>
      </c>
      <c r="L390" s="2">
        <f>Ventas[[#This Row],[Ventas_Totales]]-Ventas[[#This Row],[Costo_Total]]</f>
        <v>1016800</v>
      </c>
    </row>
    <row r="391" spans="1:12">
      <c r="A391" t="s">
        <v>421</v>
      </c>
      <c r="B391" s="1">
        <v>45945</v>
      </c>
      <c r="C391" t="s">
        <v>47</v>
      </c>
      <c r="D391" t="s">
        <v>16</v>
      </c>
      <c r="E391">
        <v>7</v>
      </c>
      <c r="F391" s="2">
        <v>625200</v>
      </c>
      <c r="G391" s="2">
        <v>476200</v>
      </c>
      <c r="H391" t="s">
        <v>25</v>
      </c>
      <c r="I391" t="s">
        <v>30</v>
      </c>
      <c r="J391" s="2">
        <f>Ventas[[#This Row],[Cantidad]]*Ventas[[#This Row],[Precio_Unitario]]</f>
        <v>4376400</v>
      </c>
      <c r="K391" s="2">
        <f>Ventas[[#This Row],[Cantidad]]*Ventas[[#This Row],[Costo_Unitario]]</f>
        <v>3333400</v>
      </c>
      <c r="L391" s="2">
        <f>Ventas[[#This Row],[Ventas_Totales]]-Ventas[[#This Row],[Costo_Total]]</f>
        <v>1043000</v>
      </c>
    </row>
    <row r="392" spans="1:12">
      <c r="A392" t="s">
        <v>422</v>
      </c>
      <c r="B392" s="1">
        <v>45946</v>
      </c>
      <c r="C392" t="s">
        <v>33</v>
      </c>
      <c r="D392" t="s">
        <v>34</v>
      </c>
      <c r="E392">
        <v>6</v>
      </c>
      <c r="F392" s="2">
        <v>180700</v>
      </c>
      <c r="G392" s="2">
        <v>116100</v>
      </c>
      <c r="H392" t="s">
        <v>25</v>
      </c>
      <c r="I392" t="s">
        <v>64</v>
      </c>
      <c r="J392" s="2">
        <f>Ventas[[#This Row],[Cantidad]]*Ventas[[#This Row],[Precio_Unitario]]</f>
        <v>1084200</v>
      </c>
      <c r="K392" s="2">
        <f>Ventas[[#This Row],[Cantidad]]*Ventas[[#This Row],[Costo_Unitario]]</f>
        <v>696600</v>
      </c>
      <c r="L392" s="2">
        <f>Ventas[[#This Row],[Ventas_Totales]]-Ventas[[#This Row],[Costo_Total]]</f>
        <v>387600</v>
      </c>
    </row>
    <row r="393" spans="1:12">
      <c r="A393" t="s">
        <v>423</v>
      </c>
      <c r="B393" s="1">
        <v>45947</v>
      </c>
      <c r="C393" t="s">
        <v>21</v>
      </c>
      <c r="D393" t="s">
        <v>11</v>
      </c>
      <c r="E393">
        <v>1</v>
      </c>
      <c r="F393" s="2">
        <v>42000</v>
      </c>
      <c r="G393" s="2">
        <v>22800</v>
      </c>
      <c r="H393" t="s">
        <v>17</v>
      </c>
      <c r="I393" t="s">
        <v>30</v>
      </c>
      <c r="J393" s="2">
        <f>Ventas[[#This Row],[Cantidad]]*Ventas[[#This Row],[Precio_Unitario]]</f>
        <v>42000</v>
      </c>
      <c r="K393" s="2">
        <f>Ventas[[#This Row],[Cantidad]]*Ventas[[#This Row],[Costo_Unitario]]</f>
        <v>22800</v>
      </c>
      <c r="L393" s="2">
        <f>Ventas[[#This Row],[Ventas_Totales]]-Ventas[[#This Row],[Costo_Total]]</f>
        <v>19200</v>
      </c>
    </row>
    <row r="394" spans="1:12">
      <c r="A394" t="s">
        <v>424</v>
      </c>
      <c r="B394" s="1">
        <v>45947</v>
      </c>
      <c r="C394" t="s">
        <v>47</v>
      </c>
      <c r="D394" t="s">
        <v>16</v>
      </c>
      <c r="E394">
        <v>6</v>
      </c>
      <c r="F394" s="2">
        <v>670500</v>
      </c>
      <c r="G394" s="2">
        <v>477400</v>
      </c>
      <c r="H394" t="s">
        <v>22</v>
      </c>
      <c r="I394" t="s">
        <v>13</v>
      </c>
      <c r="J394" s="2">
        <f>Ventas[[#This Row],[Cantidad]]*Ventas[[#This Row],[Precio_Unitario]]</f>
        <v>4023000</v>
      </c>
      <c r="K394" s="2">
        <f>Ventas[[#This Row],[Cantidad]]*Ventas[[#This Row],[Costo_Unitario]]</f>
        <v>2864400</v>
      </c>
      <c r="L394" s="2">
        <f>Ventas[[#This Row],[Ventas_Totales]]-Ventas[[#This Row],[Costo_Total]]</f>
        <v>1158600</v>
      </c>
    </row>
    <row r="395" spans="1:12">
      <c r="A395" t="s">
        <v>425</v>
      </c>
      <c r="B395" s="1">
        <v>45947</v>
      </c>
      <c r="C395" t="s">
        <v>10</v>
      </c>
      <c r="D395" t="s">
        <v>11</v>
      </c>
      <c r="E395">
        <v>3</v>
      </c>
      <c r="F395" s="2">
        <v>22300</v>
      </c>
      <c r="G395" s="2">
        <v>10300</v>
      </c>
      <c r="H395" t="s">
        <v>17</v>
      </c>
      <c r="I395" t="s">
        <v>30</v>
      </c>
      <c r="J395" s="2">
        <f>Ventas[[#This Row],[Cantidad]]*Ventas[[#This Row],[Precio_Unitario]]</f>
        <v>66900</v>
      </c>
      <c r="K395" s="2">
        <f>Ventas[[#This Row],[Cantidad]]*Ventas[[#This Row],[Costo_Unitario]]</f>
        <v>30900</v>
      </c>
      <c r="L395" s="2">
        <f>Ventas[[#This Row],[Ventas_Totales]]-Ventas[[#This Row],[Costo_Total]]</f>
        <v>36000</v>
      </c>
    </row>
    <row r="396" spans="1:12">
      <c r="A396" t="s">
        <v>426</v>
      </c>
      <c r="B396" s="1">
        <v>45949</v>
      </c>
      <c r="C396" t="s">
        <v>21</v>
      </c>
      <c r="D396" t="s">
        <v>11</v>
      </c>
      <c r="E396">
        <v>6</v>
      </c>
      <c r="F396" s="2">
        <v>45300</v>
      </c>
      <c r="G396" s="2">
        <v>23300</v>
      </c>
      <c r="H396" t="s">
        <v>12</v>
      </c>
      <c r="I396" t="s">
        <v>13</v>
      </c>
      <c r="J396" s="2">
        <f>Ventas[[#This Row],[Cantidad]]*Ventas[[#This Row],[Precio_Unitario]]</f>
        <v>271800</v>
      </c>
      <c r="K396" s="2">
        <f>Ventas[[#This Row],[Cantidad]]*Ventas[[#This Row],[Costo_Unitario]]</f>
        <v>139800</v>
      </c>
      <c r="L396" s="2">
        <f>Ventas[[#This Row],[Ventas_Totales]]-Ventas[[#This Row],[Costo_Total]]</f>
        <v>132000</v>
      </c>
    </row>
    <row r="397" spans="1:12">
      <c r="A397" t="s">
        <v>427</v>
      </c>
      <c r="B397" s="1">
        <v>45950</v>
      </c>
      <c r="C397" t="s">
        <v>55</v>
      </c>
      <c r="D397" t="s">
        <v>16</v>
      </c>
      <c r="E397">
        <v>7</v>
      </c>
      <c r="F397" s="2">
        <v>213800</v>
      </c>
      <c r="G397" s="2">
        <v>146100</v>
      </c>
      <c r="H397" t="s">
        <v>22</v>
      </c>
      <c r="I397" t="s">
        <v>72</v>
      </c>
      <c r="J397" s="2">
        <f>Ventas[[#This Row],[Cantidad]]*Ventas[[#This Row],[Precio_Unitario]]</f>
        <v>1496600</v>
      </c>
      <c r="K397" s="2">
        <f>Ventas[[#This Row],[Cantidad]]*Ventas[[#This Row],[Costo_Unitario]]</f>
        <v>1022700</v>
      </c>
      <c r="L397" s="2">
        <f>Ventas[[#This Row],[Ventas_Totales]]-Ventas[[#This Row],[Costo_Total]]</f>
        <v>473900</v>
      </c>
    </row>
    <row r="398" spans="1:12">
      <c r="A398" t="s">
        <v>428</v>
      </c>
      <c r="B398" s="1">
        <v>45950</v>
      </c>
      <c r="C398" t="s">
        <v>24</v>
      </c>
      <c r="D398" t="s">
        <v>11</v>
      </c>
      <c r="E398">
        <v>1</v>
      </c>
      <c r="F398" s="2">
        <v>47300</v>
      </c>
      <c r="G398" s="2">
        <v>25400</v>
      </c>
      <c r="H398" t="s">
        <v>22</v>
      </c>
      <c r="I398" t="s">
        <v>30</v>
      </c>
      <c r="J398" s="2">
        <f>Ventas[[#This Row],[Cantidad]]*Ventas[[#This Row],[Precio_Unitario]]</f>
        <v>47300</v>
      </c>
      <c r="K398" s="2">
        <f>Ventas[[#This Row],[Cantidad]]*Ventas[[#This Row],[Costo_Unitario]]</f>
        <v>25400</v>
      </c>
      <c r="L398" s="2">
        <f>Ventas[[#This Row],[Ventas_Totales]]-Ventas[[#This Row],[Costo_Total]]</f>
        <v>21900</v>
      </c>
    </row>
    <row r="399" spans="1:12">
      <c r="A399" t="s">
        <v>429</v>
      </c>
      <c r="B399" s="1">
        <v>45950</v>
      </c>
      <c r="C399" t="s">
        <v>47</v>
      </c>
      <c r="D399" t="s">
        <v>16</v>
      </c>
      <c r="E399">
        <v>5</v>
      </c>
      <c r="F399" s="2">
        <v>657400</v>
      </c>
      <c r="G399" s="2">
        <v>478400</v>
      </c>
      <c r="H399" t="s">
        <v>19</v>
      </c>
      <c r="I399" t="s">
        <v>64</v>
      </c>
      <c r="J399" s="2">
        <f>Ventas[[#This Row],[Cantidad]]*Ventas[[#This Row],[Precio_Unitario]]</f>
        <v>3287000</v>
      </c>
      <c r="K399" s="2">
        <f>Ventas[[#This Row],[Cantidad]]*Ventas[[#This Row],[Costo_Unitario]]</f>
        <v>2392000</v>
      </c>
      <c r="L399" s="2">
        <f>Ventas[[#This Row],[Ventas_Totales]]-Ventas[[#This Row],[Costo_Total]]</f>
        <v>895000</v>
      </c>
    </row>
    <row r="400" spans="1:12">
      <c r="A400" t="s">
        <v>430</v>
      </c>
      <c r="B400" s="1">
        <v>45951</v>
      </c>
      <c r="C400" t="s">
        <v>15</v>
      </c>
      <c r="D400" t="s">
        <v>16</v>
      </c>
      <c r="E400">
        <v>3</v>
      </c>
      <c r="F400" s="2">
        <v>337100</v>
      </c>
      <c r="G400" s="2">
        <v>217700</v>
      </c>
      <c r="H400" t="s">
        <v>17</v>
      </c>
      <c r="I400" t="s">
        <v>72</v>
      </c>
      <c r="J400" s="2">
        <f>Ventas[[#This Row],[Cantidad]]*Ventas[[#This Row],[Precio_Unitario]]</f>
        <v>1011300</v>
      </c>
      <c r="K400" s="2">
        <f>Ventas[[#This Row],[Cantidad]]*Ventas[[#This Row],[Costo_Unitario]]</f>
        <v>653100</v>
      </c>
      <c r="L400" s="2">
        <f>Ventas[[#This Row],[Ventas_Totales]]-Ventas[[#This Row],[Costo_Total]]</f>
        <v>358200</v>
      </c>
    </row>
    <row r="401" spans="1:12">
      <c r="A401" t="s">
        <v>431</v>
      </c>
      <c r="B401" s="1">
        <v>45952</v>
      </c>
      <c r="C401" t="s">
        <v>37</v>
      </c>
      <c r="D401" t="s">
        <v>34</v>
      </c>
      <c r="E401">
        <v>1</v>
      </c>
      <c r="F401" s="2">
        <v>244200</v>
      </c>
      <c r="G401" s="2">
        <v>171300</v>
      </c>
      <c r="H401" t="s">
        <v>19</v>
      </c>
      <c r="I401" t="s">
        <v>13</v>
      </c>
      <c r="J401" s="2">
        <f>Ventas[[#This Row],[Cantidad]]*Ventas[[#This Row],[Precio_Unitario]]</f>
        <v>244200</v>
      </c>
      <c r="K401" s="2">
        <f>Ventas[[#This Row],[Cantidad]]*Ventas[[#This Row],[Costo_Unitario]]</f>
        <v>171300</v>
      </c>
      <c r="L401" s="2">
        <f>Ventas[[#This Row],[Ventas_Totales]]-Ventas[[#This Row],[Costo_Total]]</f>
        <v>72900</v>
      </c>
    </row>
    <row r="402" spans="1:12">
      <c r="A402" t="s">
        <v>432</v>
      </c>
      <c r="B402" s="1">
        <v>45953</v>
      </c>
      <c r="C402" t="s">
        <v>24</v>
      </c>
      <c r="D402" t="s">
        <v>11</v>
      </c>
      <c r="E402">
        <v>2</v>
      </c>
      <c r="F402" s="2">
        <v>45900</v>
      </c>
      <c r="G402" s="2">
        <v>26800</v>
      </c>
      <c r="H402" t="s">
        <v>12</v>
      </c>
      <c r="I402" t="s">
        <v>13</v>
      </c>
      <c r="J402" s="2">
        <f>Ventas[[#This Row],[Cantidad]]*Ventas[[#This Row],[Precio_Unitario]]</f>
        <v>91800</v>
      </c>
      <c r="K402" s="2">
        <f>Ventas[[#This Row],[Cantidad]]*Ventas[[#This Row],[Costo_Unitario]]</f>
        <v>53600</v>
      </c>
      <c r="L402" s="2">
        <f>Ventas[[#This Row],[Ventas_Totales]]-Ventas[[#This Row],[Costo_Total]]</f>
        <v>38200</v>
      </c>
    </row>
    <row r="403" spans="1:12">
      <c r="A403" t="s">
        <v>433</v>
      </c>
      <c r="B403" s="1">
        <v>45953</v>
      </c>
      <c r="C403" t="s">
        <v>55</v>
      </c>
      <c r="D403" t="s">
        <v>16</v>
      </c>
      <c r="E403">
        <v>3</v>
      </c>
      <c r="F403" s="2">
        <v>209100</v>
      </c>
      <c r="G403" s="2">
        <v>153800</v>
      </c>
      <c r="H403" t="s">
        <v>25</v>
      </c>
      <c r="I403" t="s">
        <v>72</v>
      </c>
      <c r="J403" s="2">
        <f>Ventas[[#This Row],[Cantidad]]*Ventas[[#This Row],[Precio_Unitario]]</f>
        <v>627300</v>
      </c>
      <c r="K403" s="2">
        <f>Ventas[[#This Row],[Cantidad]]*Ventas[[#This Row],[Costo_Unitario]]</f>
        <v>461400</v>
      </c>
      <c r="L403" s="2">
        <f>Ventas[[#This Row],[Ventas_Totales]]-Ventas[[#This Row],[Costo_Total]]</f>
        <v>165900</v>
      </c>
    </row>
    <row r="404" spans="1:12">
      <c r="A404" t="s">
        <v>434</v>
      </c>
      <c r="B404" s="1">
        <v>45955</v>
      </c>
      <c r="C404" t="s">
        <v>33</v>
      </c>
      <c r="D404" t="s">
        <v>34</v>
      </c>
      <c r="E404">
        <v>1</v>
      </c>
      <c r="F404" s="2">
        <v>196400</v>
      </c>
      <c r="G404" s="2">
        <v>114200</v>
      </c>
      <c r="H404" t="s">
        <v>17</v>
      </c>
      <c r="I404" t="s">
        <v>26</v>
      </c>
      <c r="J404" s="2">
        <f>Ventas[[#This Row],[Cantidad]]*Ventas[[#This Row],[Precio_Unitario]]</f>
        <v>196400</v>
      </c>
      <c r="K404" s="2">
        <f>Ventas[[#This Row],[Cantidad]]*Ventas[[#This Row],[Costo_Unitario]]</f>
        <v>114200</v>
      </c>
      <c r="L404" s="2">
        <f>Ventas[[#This Row],[Ventas_Totales]]-Ventas[[#This Row],[Costo_Total]]</f>
        <v>82200</v>
      </c>
    </row>
    <row r="405" spans="1:12">
      <c r="A405" t="s">
        <v>435</v>
      </c>
      <c r="B405" s="1">
        <v>45957</v>
      </c>
      <c r="C405" t="s">
        <v>47</v>
      </c>
      <c r="D405" t="s">
        <v>16</v>
      </c>
      <c r="E405">
        <v>6</v>
      </c>
      <c r="F405" s="2">
        <v>610200</v>
      </c>
      <c r="G405" s="2">
        <v>488800</v>
      </c>
      <c r="H405" t="s">
        <v>22</v>
      </c>
      <c r="I405" t="s">
        <v>30</v>
      </c>
      <c r="J405" s="2">
        <f>Ventas[[#This Row],[Cantidad]]*Ventas[[#This Row],[Precio_Unitario]]</f>
        <v>3661200</v>
      </c>
      <c r="K405" s="2">
        <f>Ventas[[#This Row],[Cantidad]]*Ventas[[#This Row],[Costo_Unitario]]</f>
        <v>2932800</v>
      </c>
      <c r="L405" s="2">
        <f>Ventas[[#This Row],[Ventas_Totales]]-Ventas[[#This Row],[Costo_Total]]</f>
        <v>728400</v>
      </c>
    </row>
    <row r="406" spans="1:12">
      <c r="A406" t="s">
        <v>436</v>
      </c>
      <c r="B406" s="1">
        <v>45957</v>
      </c>
      <c r="C406" t="s">
        <v>24</v>
      </c>
      <c r="D406" t="s">
        <v>11</v>
      </c>
      <c r="E406">
        <v>1</v>
      </c>
      <c r="F406" s="2">
        <v>49500</v>
      </c>
      <c r="G406" s="2">
        <v>26200</v>
      </c>
      <c r="H406" t="s">
        <v>17</v>
      </c>
      <c r="I406" t="s">
        <v>13</v>
      </c>
      <c r="J406" s="2">
        <f>Ventas[[#This Row],[Cantidad]]*Ventas[[#This Row],[Precio_Unitario]]</f>
        <v>49500</v>
      </c>
      <c r="K406" s="2">
        <f>Ventas[[#This Row],[Cantidad]]*Ventas[[#This Row],[Costo_Unitario]]</f>
        <v>26200</v>
      </c>
      <c r="L406" s="2">
        <f>Ventas[[#This Row],[Ventas_Totales]]-Ventas[[#This Row],[Costo_Total]]</f>
        <v>23300</v>
      </c>
    </row>
    <row r="407" spans="1:12">
      <c r="A407" t="s">
        <v>437</v>
      </c>
      <c r="B407" s="1">
        <v>45958</v>
      </c>
      <c r="C407" t="s">
        <v>39</v>
      </c>
      <c r="D407" t="s">
        <v>11</v>
      </c>
      <c r="E407">
        <v>5</v>
      </c>
      <c r="F407" s="2">
        <v>32400</v>
      </c>
      <c r="G407" s="2">
        <v>18100</v>
      </c>
      <c r="H407" t="s">
        <v>17</v>
      </c>
      <c r="I407" t="s">
        <v>64</v>
      </c>
      <c r="J407" s="2">
        <f>Ventas[[#This Row],[Cantidad]]*Ventas[[#This Row],[Precio_Unitario]]</f>
        <v>162000</v>
      </c>
      <c r="K407" s="2">
        <f>Ventas[[#This Row],[Cantidad]]*Ventas[[#This Row],[Costo_Unitario]]</f>
        <v>90500</v>
      </c>
      <c r="L407" s="2">
        <f>Ventas[[#This Row],[Ventas_Totales]]-Ventas[[#This Row],[Costo_Total]]</f>
        <v>71500</v>
      </c>
    </row>
    <row r="408" spans="1:12">
      <c r="A408" t="s">
        <v>438</v>
      </c>
      <c r="B408" s="1">
        <v>45959</v>
      </c>
      <c r="C408" t="s">
        <v>37</v>
      </c>
      <c r="D408" t="s">
        <v>34</v>
      </c>
      <c r="E408">
        <v>4</v>
      </c>
      <c r="F408" s="2">
        <v>262300</v>
      </c>
      <c r="G408" s="2">
        <v>174600</v>
      </c>
      <c r="H408" t="s">
        <v>25</v>
      </c>
      <c r="I408" t="s">
        <v>30</v>
      </c>
      <c r="J408" s="2">
        <f>Ventas[[#This Row],[Cantidad]]*Ventas[[#This Row],[Precio_Unitario]]</f>
        <v>1049200</v>
      </c>
      <c r="K408" s="2">
        <f>Ventas[[#This Row],[Cantidad]]*Ventas[[#This Row],[Costo_Unitario]]</f>
        <v>698400</v>
      </c>
      <c r="L408" s="2">
        <f>Ventas[[#This Row],[Ventas_Totales]]-Ventas[[#This Row],[Costo_Total]]</f>
        <v>350800</v>
      </c>
    </row>
    <row r="409" spans="1:12">
      <c r="A409" t="s">
        <v>439</v>
      </c>
      <c r="B409" s="1">
        <v>45962</v>
      </c>
      <c r="C409" t="s">
        <v>33</v>
      </c>
      <c r="D409" t="s">
        <v>34</v>
      </c>
      <c r="E409">
        <v>5</v>
      </c>
      <c r="F409" s="2">
        <v>180300</v>
      </c>
      <c r="G409" s="2">
        <v>114200</v>
      </c>
      <c r="H409" t="s">
        <v>19</v>
      </c>
      <c r="I409" t="s">
        <v>30</v>
      </c>
      <c r="J409" s="2">
        <f>Ventas[[#This Row],[Cantidad]]*Ventas[[#This Row],[Precio_Unitario]]</f>
        <v>901500</v>
      </c>
      <c r="K409" s="2">
        <f>Ventas[[#This Row],[Cantidad]]*Ventas[[#This Row],[Costo_Unitario]]</f>
        <v>571000</v>
      </c>
      <c r="L409" s="2">
        <f>Ventas[[#This Row],[Ventas_Totales]]-Ventas[[#This Row],[Costo_Total]]</f>
        <v>330500</v>
      </c>
    </row>
    <row r="410" spans="1:12">
      <c r="A410" t="s">
        <v>440</v>
      </c>
      <c r="B410" s="1">
        <v>45963</v>
      </c>
      <c r="C410" t="s">
        <v>24</v>
      </c>
      <c r="D410" t="s">
        <v>11</v>
      </c>
      <c r="E410">
        <v>3</v>
      </c>
      <c r="F410" s="2">
        <v>51900</v>
      </c>
      <c r="G410" s="2">
        <v>25000</v>
      </c>
      <c r="H410" t="s">
        <v>19</v>
      </c>
      <c r="I410" t="s">
        <v>64</v>
      </c>
      <c r="J410" s="2">
        <f>Ventas[[#This Row],[Cantidad]]*Ventas[[#This Row],[Precio_Unitario]]</f>
        <v>155700</v>
      </c>
      <c r="K410" s="2">
        <f>Ventas[[#This Row],[Cantidad]]*Ventas[[#This Row],[Costo_Unitario]]</f>
        <v>75000</v>
      </c>
      <c r="L410" s="2">
        <f>Ventas[[#This Row],[Ventas_Totales]]-Ventas[[#This Row],[Costo_Total]]</f>
        <v>80700</v>
      </c>
    </row>
    <row r="411" spans="1:12">
      <c r="A411" t="s">
        <v>441</v>
      </c>
      <c r="B411" s="1">
        <v>45963</v>
      </c>
      <c r="C411" t="s">
        <v>55</v>
      </c>
      <c r="D411" t="s">
        <v>16</v>
      </c>
      <c r="E411">
        <v>4</v>
      </c>
      <c r="F411" s="2">
        <v>233900</v>
      </c>
      <c r="G411" s="2">
        <v>147100</v>
      </c>
      <c r="H411" t="s">
        <v>17</v>
      </c>
      <c r="I411" t="s">
        <v>13</v>
      </c>
      <c r="J411" s="2">
        <f>Ventas[[#This Row],[Cantidad]]*Ventas[[#This Row],[Precio_Unitario]]</f>
        <v>935600</v>
      </c>
      <c r="K411" s="2">
        <f>Ventas[[#This Row],[Cantidad]]*Ventas[[#This Row],[Costo_Unitario]]</f>
        <v>588400</v>
      </c>
      <c r="L411" s="2">
        <f>Ventas[[#This Row],[Ventas_Totales]]-Ventas[[#This Row],[Costo_Total]]</f>
        <v>347200</v>
      </c>
    </row>
    <row r="412" spans="1:12">
      <c r="A412" t="s">
        <v>442</v>
      </c>
      <c r="B412" s="1">
        <v>45964</v>
      </c>
      <c r="C412" t="s">
        <v>10</v>
      </c>
      <c r="D412" t="s">
        <v>11</v>
      </c>
      <c r="E412">
        <v>4</v>
      </c>
      <c r="F412" s="2">
        <v>21600</v>
      </c>
      <c r="G412" s="2">
        <v>10300</v>
      </c>
      <c r="H412" t="s">
        <v>22</v>
      </c>
      <c r="I412" t="s">
        <v>26</v>
      </c>
      <c r="J412" s="2">
        <f>Ventas[[#This Row],[Cantidad]]*Ventas[[#This Row],[Precio_Unitario]]</f>
        <v>86400</v>
      </c>
      <c r="K412" s="2">
        <f>Ventas[[#This Row],[Cantidad]]*Ventas[[#This Row],[Costo_Unitario]]</f>
        <v>41200</v>
      </c>
      <c r="L412" s="2">
        <f>Ventas[[#This Row],[Ventas_Totales]]-Ventas[[#This Row],[Costo_Total]]</f>
        <v>45200</v>
      </c>
    </row>
    <row r="413" spans="1:12">
      <c r="A413" t="s">
        <v>443</v>
      </c>
      <c r="B413" s="1">
        <v>45964</v>
      </c>
      <c r="C413" t="s">
        <v>47</v>
      </c>
      <c r="D413" t="s">
        <v>16</v>
      </c>
      <c r="E413">
        <v>6</v>
      </c>
      <c r="F413" s="2">
        <v>633100</v>
      </c>
      <c r="G413" s="2">
        <v>469100</v>
      </c>
      <c r="H413" t="s">
        <v>22</v>
      </c>
      <c r="I413" t="s">
        <v>13</v>
      </c>
      <c r="J413" s="2">
        <f>Ventas[[#This Row],[Cantidad]]*Ventas[[#This Row],[Precio_Unitario]]</f>
        <v>3798600</v>
      </c>
      <c r="K413" s="2">
        <f>Ventas[[#This Row],[Cantidad]]*Ventas[[#This Row],[Costo_Unitario]]</f>
        <v>2814600</v>
      </c>
      <c r="L413" s="2">
        <f>Ventas[[#This Row],[Ventas_Totales]]-Ventas[[#This Row],[Costo_Total]]</f>
        <v>984000</v>
      </c>
    </row>
    <row r="414" spans="1:12">
      <c r="A414" t="s">
        <v>444</v>
      </c>
      <c r="B414" s="1">
        <v>45965</v>
      </c>
      <c r="C414" t="s">
        <v>39</v>
      </c>
      <c r="D414" t="s">
        <v>11</v>
      </c>
      <c r="E414">
        <v>2</v>
      </c>
      <c r="F414" s="2">
        <v>33400</v>
      </c>
      <c r="G414" s="2">
        <v>18000</v>
      </c>
      <c r="H414" t="s">
        <v>19</v>
      </c>
      <c r="I414" t="s">
        <v>30</v>
      </c>
      <c r="J414" s="2">
        <f>Ventas[[#This Row],[Cantidad]]*Ventas[[#This Row],[Precio_Unitario]]</f>
        <v>66800</v>
      </c>
      <c r="K414" s="2">
        <f>Ventas[[#This Row],[Cantidad]]*Ventas[[#This Row],[Costo_Unitario]]</f>
        <v>36000</v>
      </c>
      <c r="L414" s="2">
        <f>Ventas[[#This Row],[Ventas_Totales]]-Ventas[[#This Row],[Costo_Total]]</f>
        <v>30800</v>
      </c>
    </row>
    <row r="415" spans="1:12">
      <c r="A415" t="s">
        <v>445</v>
      </c>
      <c r="B415" s="1">
        <v>45965</v>
      </c>
      <c r="C415" t="s">
        <v>37</v>
      </c>
      <c r="D415" t="s">
        <v>34</v>
      </c>
      <c r="E415">
        <v>3</v>
      </c>
      <c r="F415" s="2">
        <v>277100</v>
      </c>
      <c r="G415" s="2">
        <v>178000</v>
      </c>
      <c r="H415" t="s">
        <v>19</v>
      </c>
      <c r="I415" t="s">
        <v>30</v>
      </c>
      <c r="J415" s="2">
        <f>Ventas[[#This Row],[Cantidad]]*Ventas[[#This Row],[Precio_Unitario]]</f>
        <v>831300</v>
      </c>
      <c r="K415" s="2">
        <f>Ventas[[#This Row],[Cantidad]]*Ventas[[#This Row],[Costo_Unitario]]</f>
        <v>534000</v>
      </c>
      <c r="L415" s="2">
        <f>Ventas[[#This Row],[Ventas_Totales]]-Ventas[[#This Row],[Costo_Total]]</f>
        <v>297300</v>
      </c>
    </row>
    <row r="416" spans="1:12">
      <c r="A416" t="s">
        <v>446</v>
      </c>
      <c r="B416" s="1">
        <v>45965</v>
      </c>
      <c r="C416" t="s">
        <v>47</v>
      </c>
      <c r="D416" t="s">
        <v>16</v>
      </c>
      <c r="E416">
        <v>7</v>
      </c>
      <c r="F416" s="2">
        <v>658800</v>
      </c>
      <c r="G416" s="2">
        <v>482900</v>
      </c>
      <c r="H416" t="s">
        <v>25</v>
      </c>
      <c r="I416" t="s">
        <v>13</v>
      </c>
      <c r="J416" s="2">
        <f>Ventas[[#This Row],[Cantidad]]*Ventas[[#This Row],[Precio_Unitario]]</f>
        <v>4611600</v>
      </c>
      <c r="K416" s="2">
        <f>Ventas[[#This Row],[Cantidad]]*Ventas[[#This Row],[Costo_Unitario]]</f>
        <v>3380300</v>
      </c>
      <c r="L416" s="2">
        <f>Ventas[[#This Row],[Ventas_Totales]]-Ventas[[#This Row],[Costo_Total]]</f>
        <v>1231300</v>
      </c>
    </row>
    <row r="417" spans="1:12">
      <c r="A417" t="s">
        <v>447</v>
      </c>
      <c r="B417" s="1">
        <v>45965</v>
      </c>
      <c r="C417" t="s">
        <v>21</v>
      </c>
      <c r="D417" t="s">
        <v>11</v>
      </c>
      <c r="E417">
        <v>5</v>
      </c>
      <c r="F417" s="2">
        <v>40800</v>
      </c>
      <c r="G417" s="2">
        <v>23100</v>
      </c>
      <c r="H417" t="s">
        <v>12</v>
      </c>
      <c r="I417" t="s">
        <v>13</v>
      </c>
      <c r="J417" s="2">
        <f>Ventas[[#This Row],[Cantidad]]*Ventas[[#This Row],[Precio_Unitario]]</f>
        <v>204000</v>
      </c>
      <c r="K417" s="2">
        <f>Ventas[[#This Row],[Cantidad]]*Ventas[[#This Row],[Costo_Unitario]]</f>
        <v>115500</v>
      </c>
      <c r="L417" s="2">
        <f>Ventas[[#This Row],[Ventas_Totales]]-Ventas[[#This Row],[Costo_Total]]</f>
        <v>88500</v>
      </c>
    </row>
    <row r="418" spans="1:12">
      <c r="A418" t="s">
        <v>448</v>
      </c>
      <c r="B418" s="1">
        <v>45966</v>
      </c>
      <c r="C418" t="s">
        <v>21</v>
      </c>
      <c r="D418" t="s">
        <v>11</v>
      </c>
      <c r="E418">
        <v>5</v>
      </c>
      <c r="F418" s="2">
        <v>44600</v>
      </c>
      <c r="G418" s="2">
        <v>23800</v>
      </c>
      <c r="H418" t="s">
        <v>22</v>
      </c>
      <c r="I418" t="s">
        <v>13</v>
      </c>
      <c r="J418" s="2">
        <f>Ventas[[#This Row],[Cantidad]]*Ventas[[#This Row],[Precio_Unitario]]</f>
        <v>223000</v>
      </c>
      <c r="K418" s="2">
        <f>Ventas[[#This Row],[Cantidad]]*Ventas[[#This Row],[Costo_Unitario]]</f>
        <v>119000</v>
      </c>
      <c r="L418" s="2">
        <f>Ventas[[#This Row],[Ventas_Totales]]-Ventas[[#This Row],[Costo_Total]]</f>
        <v>104000</v>
      </c>
    </row>
    <row r="419" spans="1:12">
      <c r="A419" t="s">
        <v>449</v>
      </c>
      <c r="B419" s="1">
        <v>45967</v>
      </c>
      <c r="C419" t="s">
        <v>21</v>
      </c>
      <c r="D419" t="s">
        <v>11</v>
      </c>
      <c r="E419">
        <v>2</v>
      </c>
      <c r="F419" s="2">
        <v>45100</v>
      </c>
      <c r="G419" s="2">
        <v>22800</v>
      </c>
      <c r="H419" t="s">
        <v>17</v>
      </c>
      <c r="I419" t="s">
        <v>64</v>
      </c>
      <c r="J419" s="2">
        <f>Ventas[[#This Row],[Cantidad]]*Ventas[[#This Row],[Precio_Unitario]]</f>
        <v>90200</v>
      </c>
      <c r="K419" s="2">
        <f>Ventas[[#This Row],[Cantidad]]*Ventas[[#This Row],[Costo_Unitario]]</f>
        <v>45600</v>
      </c>
      <c r="L419" s="2">
        <f>Ventas[[#This Row],[Ventas_Totales]]-Ventas[[#This Row],[Costo_Total]]</f>
        <v>44600</v>
      </c>
    </row>
    <row r="420" spans="1:12">
      <c r="A420" t="s">
        <v>450</v>
      </c>
      <c r="B420" s="1">
        <v>45968</v>
      </c>
      <c r="C420" t="s">
        <v>39</v>
      </c>
      <c r="D420" t="s">
        <v>11</v>
      </c>
      <c r="E420">
        <v>6</v>
      </c>
      <c r="F420" s="2">
        <v>37400</v>
      </c>
      <c r="G420" s="2">
        <v>18400</v>
      </c>
      <c r="H420" t="s">
        <v>17</v>
      </c>
      <c r="I420" t="s">
        <v>13</v>
      </c>
      <c r="J420" s="2">
        <f>Ventas[[#This Row],[Cantidad]]*Ventas[[#This Row],[Precio_Unitario]]</f>
        <v>224400</v>
      </c>
      <c r="K420" s="2">
        <f>Ventas[[#This Row],[Cantidad]]*Ventas[[#This Row],[Costo_Unitario]]</f>
        <v>110400</v>
      </c>
      <c r="L420" s="2">
        <f>Ventas[[#This Row],[Ventas_Totales]]-Ventas[[#This Row],[Costo_Total]]</f>
        <v>114000</v>
      </c>
    </row>
    <row r="421" spans="1:12">
      <c r="A421" t="s">
        <v>451</v>
      </c>
      <c r="B421" s="1">
        <v>45968</v>
      </c>
      <c r="C421" t="s">
        <v>39</v>
      </c>
      <c r="D421" t="s">
        <v>11</v>
      </c>
      <c r="E421">
        <v>7</v>
      </c>
      <c r="F421" s="2">
        <v>32800</v>
      </c>
      <c r="G421" s="2">
        <v>17900</v>
      </c>
      <c r="H421" t="s">
        <v>22</v>
      </c>
      <c r="I421" t="s">
        <v>13</v>
      </c>
      <c r="J421" s="2">
        <f>Ventas[[#This Row],[Cantidad]]*Ventas[[#This Row],[Precio_Unitario]]</f>
        <v>229600</v>
      </c>
      <c r="K421" s="2">
        <f>Ventas[[#This Row],[Cantidad]]*Ventas[[#This Row],[Costo_Unitario]]</f>
        <v>125300</v>
      </c>
      <c r="L421" s="2">
        <f>Ventas[[#This Row],[Ventas_Totales]]-Ventas[[#This Row],[Costo_Total]]</f>
        <v>104300</v>
      </c>
    </row>
    <row r="422" spans="1:12">
      <c r="A422" t="s">
        <v>452</v>
      </c>
      <c r="B422" s="1">
        <v>45968</v>
      </c>
      <c r="C422" t="s">
        <v>10</v>
      </c>
      <c r="D422" t="s">
        <v>11</v>
      </c>
      <c r="E422">
        <v>6</v>
      </c>
      <c r="F422" s="2">
        <v>22400</v>
      </c>
      <c r="G422" s="2">
        <v>9700</v>
      </c>
      <c r="H422" t="s">
        <v>19</v>
      </c>
      <c r="I422" t="s">
        <v>13</v>
      </c>
      <c r="J422" s="2">
        <f>Ventas[[#This Row],[Cantidad]]*Ventas[[#This Row],[Precio_Unitario]]</f>
        <v>134400</v>
      </c>
      <c r="K422" s="2">
        <f>Ventas[[#This Row],[Cantidad]]*Ventas[[#This Row],[Costo_Unitario]]</f>
        <v>58200</v>
      </c>
      <c r="L422" s="2">
        <f>Ventas[[#This Row],[Ventas_Totales]]-Ventas[[#This Row],[Costo_Total]]</f>
        <v>76200</v>
      </c>
    </row>
    <row r="423" spans="1:12">
      <c r="A423" t="s">
        <v>453</v>
      </c>
      <c r="B423" s="1">
        <v>45968</v>
      </c>
      <c r="C423" t="s">
        <v>24</v>
      </c>
      <c r="D423" t="s">
        <v>11</v>
      </c>
      <c r="E423">
        <v>4</v>
      </c>
      <c r="F423" s="2">
        <v>44900</v>
      </c>
      <c r="G423" s="2">
        <v>25200</v>
      </c>
      <c r="H423" t="s">
        <v>12</v>
      </c>
      <c r="I423" t="s">
        <v>64</v>
      </c>
      <c r="J423" s="2">
        <f>Ventas[[#This Row],[Cantidad]]*Ventas[[#This Row],[Precio_Unitario]]</f>
        <v>179600</v>
      </c>
      <c r="K423" s="2">
        <f>Ventas[[#This Row],[Cantidad]]*Ventas[[#This Row],[Costo_Unitario]]</f>
        <v>100800</v>
      </c>
      <c r="L423" s="2">
        <f>Ventas[[#This Row],[Ventas_Totales]]-Ventas[[#This Row],[Costo_Total]]</f>
        <v>78800</v>
      </c>
    </row>
    <row r="424" spans="1:12">
      <c r="A424" t="s">
        <v>454</v>
      </c>
      <c r="B424" s="1">
        <v>45969</v>
      </c>
      <c r="C424" t="s">
        <v>10</v>
      </c>
      <c r="D424" t="s">
        <v>11</v>
      </c>
      <c r="E424">
        <v>4</v>
      </c>
      <c r="F424" s="2">
        <v>21400</v>
      </c>
      <c r="G424" s="2">
        <v>10000</v>
      </c>
      <c r="H424" t="s">
        <v>12</v>
      </c>
      <c r="I424" t="s">
        <v>13</v>
      </c>
      <c r="J424" s="2">
        <f>Ventas[[#This Row],[Cantidad]]*Ventas[[#This Row],[Precio_Unitario]]</f>
        <v>85600</v>
      </c>
      <c r="K424" s="2">
        <f>Ventas[[#This Row],[Cantidad]]*Ventas[[#This Row],[Costo_Unitario]]</f>
        <v>40000</v>
      </c>
      <c r="L424" s="2">
        <f>Ventas[[#This Row],[Ventas_Totales]]-Ventas[[#This Row],[Costo_Total]]</f>
        <v>45600</v>
      </c>
    </row>
    <row r="425" spans="1:12">
      <c r="A425" t="s">
        <v>455</v>
      </c>
      <c r="B425" s="1">
        <v>45969</v>
      </c>
      <c r="C425" t="s">
        <v>10</v>
      </c>
      <c r="D425" t="s">
        <v>11</v>
      </c>
      <c r="E425">
        <v>5</v>
      </c>
      <c r="F425" s="2">
        <v>22000</v>
      </c>
      <c r="G425" s="2">
        <v>10400</v>
      </c>
      <c r="H425" t="s">
        <v>25</v>
      </c>
      <c r="I425" t="s">
        <v>72</v>
      </c>
      <c r="J425" s="2">
        <f>Ventas[[#This Row],[Cantidad]]*Ventas[[#This Row],[Precio_Unitario]]</f>
        <v>110000</v>
      </c>
      <c r="K425" s="2">
        <f>Ventas[[#This Row],[Cantidad]]*Ventas[[#This Row],[Costo_Unitario]]</f>
        <v>52000</v>
      </c>
      <c r="L425" s="2">
        <f>Ventas[[#This Row],[Ventas_Totales]]-Ventas[[#This Row],[Costo_Total]]</f>
        <v>58000</v>
      </c>
    </row>
    <row r="426" spans="1:12">
      <c r="A426" t="s">
        <v>456</v>
      </c>
      <c r="B426" s="1">
        <v>45969</v>
      </c>
      <c r="C426" t="s">
        <v>39</v>
      </c>
      <c r="D426" t="s">
        <v>11</v>
      </c>
      <c r="E426">
        <v>7</v>
      </c>
      <c r="F426" s="2">
        <v>34800</v>
      </c>
      <c r="G426" s="2">
        <v>17800</v>
      </c>
      <c r="H426" t="s">
        <v>17</v>
      </c>
      <c r="I426" t="s">
        <v>64</v>
      </c>
      <c r="J426" s="2">
        <f>Ventas[[#This Row],[Cantidad]]*Ventas[[#This Row],[Precio_Unitario]]</f>
        <v>243600</v>
      </c>
      <c r="K426" s="2">
        <f>Ventas[[#This Row],[Cantidad]]*Ventas[[#This Row],[Costo_Unitario]]</f>
        <v>124600</v>
      </c>
      <c r="L426" s="2">
        <f>Ventas[[#This Row],[Ventas_Totales]]-Ventas[[#This Row],[Costo_Total]]</f>
        <v>119000</v>
      </c>
    </row>
    <row r="427" spans="1:12">
      <c r="A427" t="s">
        <v>457</v>
      </c>
      <c r="B427" s="1">
        <v>45969</v>
      </c>
      <c r="C427" t="s">
        <v>55</v>
      </c>
      <c r="D427" t="s">
        <v>16</v>
      </c>
      <c r="E427">
        <v>4</v>
      </c>
      <c r="F427" s="2">
        <v>208300</v>
      </c>
      <c r="G427" s="2">
        <v>154500</v>
      </c>
      <c r="H427" t="s">
        <v>12</v>
      </c>
      <c r="I427" t="s">
        <v>26</v>
      </c>
      <c r="J427" s="2">
        <f>Ventas[[#This Row],[Cantidad]]*Ventas[[#This Row],[Precio_Unitario]]</f>
        <v>833200</v>
      </c>
      <c r="K427" s="2">
        <f>Ventas[[#This Row],[Cantidad]]*Ventas[[#This Row],[Costo_Unitario]]</f>
        <v>618000</v>
      </c>
      <c r="L427" s="2">
        <f>Ventas[[#This Row],[Ventas_Totales]]-Ventas[[#This Row],[Costo_Total]]</f>
        <v>215200</v>
      </c>
    </row>
    <row r="428" spans="1:12">
      <c r="A428" t="s">
        <v>458</v>
      </c>
      <c r="B428" s="1">
        <v>45970</v>
      </c>
      <c r="C428" t="s">
        <v>15</v>
      </c>
      <c r="D428" t="s">
        <v>16</v>
      </c>
      <c r="E428">
        <v>1</v>
      </c>
      <c r="F428" s="2">
        <v>295300</v>
      </c>
      <c r="G428" s="2">
        <v>219900</v>
      </c>
      <c r="H428" t="s">
        <v>22</v>
      </c>
      <c r="I428" t="s">
        <v>30</v>
      </c>
      <c r="J428" s="2">
        <f>Ventas[[#This Row],[Cantidad]]*Ventas[[#This Row],[Precio_Unitario]]</f>
        <v>295300</v>
      </c>
      <c r="K428" s="2">
        <f>Ventas[[#This Row],[Cantidad]]*Ventas[[#This Row],[Costo_Unitario]]</f>
        <v>219900</v>
      </c>
      <c r="L428" s="2">
        <f>Ventas[[#This Row],[Ventas_Totales]]-Ventas[[#This Row],[Costo_Total]]</f>
        <v>75400</v>
      </c>
    </row>
    <row r="429" spans="1:12">
      <c r="A429" t="s">
        <v>459</v>
      </c>
      <c r="B429" s="1">
        <v>45970</v>
      </c>
      <c r="C429" t="s">
        <v>24</v>
      </c>
      <c r="D429" t="s">
        <v>11</v>
      </c>
      <c r="E429">
        <v>3</v>
      </c>
      <c r="F429" s="2">
        <v>45500</v>
      </c>
      <c r="G429" s="2">
        <v>25400</v>
      </c>
      <c r="H429" t="s">
        <v>25</v>
      </c>
      <c r="I429" t="s">
        <v>13</v>
      </c>
      <c r="J429" s="2">
        <f>Ventas[[#This Row],[Cantidad]]*Ventas[[#This Row],[Precio_Unitario]]</f>
        <v>136500</v>
      </c>
      <c r="K429" s="2">
        <f>Ventas[[#This Row],[Cantidad]]*Ventas[[#This Row],[Costo_Unitario]]</f>
        <v>76200</v>
      </c>
      <c r="L429" s="2">
        <f>Ventas[[#This Row],[Ventas_Totales]]-Ventas[[#This Row],[Costo_Total]]</f>
        <v>60300</v>
      </c>
    </row>
    <row r="430" spans="1:12">
      <c r="A430" t="s">
        <v>460</v>
      </c>
      <c r="B430" s="1">
        <v>45971</v>
      </c>
      <c r="C430" t="s">
        <v>15</v>
      </c>
      <c r="D430" t="s">
        <v>16</v>
      </c>
      <c r="E430">
        <v>7</v>
      </c>
      <c r="F430" s="2">
        <v>288600</v>
      </c>
      <c r="G430" s="2">
        <v>222600</v>
      </c>
      <c r="H430" t="s">
        <v>17</v>
      </c>
      <c r="I430" t="s">
        <v>64</v>
      </c>
      <c r="J430" s="2">
        <f>Ventas[[#This Row],[Cantidad]]*Ventas[[#This Row],[Precio_Unitario]]</f>
        <v>2020200</v>
      </c>
      <c r="K430" s="2">
        <f>Ventas[[#This Row],[Cantidad]]*Ventas[[#This Row],[Costo_Unitario]]</f>
        <v>1558200</v>
      </c>
      <c r="L430" s="2">
        <f>Ventas[[#This Row],[Ventas_Totales]]-Ventas[[#This Row],[Costo_Total]]</f>
        <v>462000</v>
      </c>
    </row>
    <row r="431" spans="1:12">
      <c r="A431" t="s">
        <v>461</v>
      </c>
      <c r="B431" s="1">
        <v>45971</v>
      </c>
      <c r="C431" t="s">
        <v>15</v>
      </c>
      <c r="D431" t="s">
        <v>16</v>
      </c>
      <c r="E431">
        <v>7</v>
      </c>
      <c r="F431" s="2">
        <v>306200</v>
      </c>
      <c r="G431" s="2">
        <v>230900</v>
      </c>
      <c r="H431" t="s">
        <v>25</v>
      </c>
      <c r="I431" t="s">
        <v>13</v>
      </c>
      <c r="J431" s="2">
        <f>Ventas[[#This Row],[Cantidad]]*Ventas[[#This Row],[Precio_Unitario]]</f>
        <v>2143400</v>
      </c>
      <c r="K431" s="2">
        <f>Ventas[[#This Row],[Cantidad]]*Ventas[[#This Row],[Costo_Unitario]]</f>
        <v>1616300</v>
      </c>
      <c r="L431" s="2">
        <f>Ventas[[#This Row],[Ventas_Totales]]-Ventas[[#This Row],[Costo_Total]]</f>
        <v>527100</v>
      </c>
    </row>
    <row r="432" spans="1:12">
      <c r="A432" t="s">
        <v>462</v>
      </c>
      <c r="B432" s="1">
        <v>45972</v>
      </c>
      <c r="C432" t="s">
        <v>24</v>
      </c>
      <c r="D432" t="s">
        <v>11</v>
      </c>
      <c r="E432">
        <v>4</v>
      </c>
      <c r="F432" s="2">
        <v>48000</v>
      </c>
      <c r="G432" s="2">
        <v>25700</v>
      </c>
      <c r="H432" t="s">
        <v>25</v>
      </c>
      <c r="I432" t="s">
        <v>13</v>
      </c>
      <c r="J432" s="2">
        <f>Ventas[[#This Row],[Cantidad]]*Ventas[[#This Row],[Precio_Unitario]]</f>
        <v>192000</v>
      </c>
      <c r="K432" s="2">
        <f>Ventas[[#This Row],[Cantidad]]*Ventas[[#This Row],[Costo_Unitario]]</f>
        <v>102800</v>
      </c>
      <c r="L432" s="2">
        <f>Ventas[[#This Row],[Ventas_Totales]]-Ventas[[#This Row],[Costo_Total]]</f>
        <v>89200</v>
      </c>
    </row>
    <row r="433" spans="1:12">
      <c r="A433" t="s">
        <v>463</v>
      </c>
      <c r="B433" s="1">
        <v>45972</v>
      </c>
      <c r="C433" t="s">
        <v>47</v>
      </c>
      <c r="D433" t="s">
        <v>16</v>
      </c>
      <c r="E433">
        <v>6</v>
      </c>
      <c r="F433" s="2">
        <v>663100</v>
      </c>
      <c r="G433" s="2">
        <v>470500</v>
      </c>
      <c r="H433" t="s">
        <v>25</v>
      </c>
      <c r="I433" t="s">
        <v>64</v>
      </c>
      <c r="J433" s="2">
        <f>Ventas[[#This Row],[Cantidad]]*Ventas[[#This Row],[Precio_Unitario]]</f>
        <v>3978600</v>
      </c>
      <c r="K433" s="2">
        <f>Ventas[[#This Row],[Cantidad]]*Ventas[[#This Row],[Costo_Unitario]]</f>
        <v>2823000</v>
      </c>
      <c r="L433" s="2">
        <f>Ventas[[#This Row],[Ventas_Totales]]-Ventas[[#This Row],[Costo_Total]]</f>
        <v>1155600</v>
      </c>
    </row>
    <row r="434" spans="1:12">
      <c r="A434" t="s">
        <v>464</v>
      </c>
      <c r="B434" s="1">
        <v>45973</v>
      </c>
      <c r="C434" t="s">
        <v>15</v>
      </c>
      <c r="D434" t="s">
        <v>16</v>
      </c>
      <c r="E434">
        <v>5</v>
      </c>
      <c r="F434" s="2">
        <v>309300</v>
      </c>
      <c r="G434" s="2">
        <v>226800</v>
      </c>
      <c r="H434" t="s">
        <v>22</v>
      </c>
      <c r="I434" t="s">
        <v>13</v>
      </c>
      <c r="J434" s="2">
        <f>Ventas[[#This Row],[Cantidad]]*Ventas[[#This Row],[Precio_Unitario]]</f>
        <v>1546500</v>
      </c>
      <c r="K434" s="2">
        <f>Ventas[[#This Row],[Cantidad]]*Ventas[[#This Row],[Costo_Unitario]]</f>
        <v>1134000</v>
      </c>
      <c r="L434" s="2">
        <f>Ventas[[#This Row],[Ventas_Totales]]-Ventas[[#This Row],[Costo_Total]]</f>
        <v>412500</v>
      </c>
    </row>
    <row r="435" spans="1:12">
      <c r="A435" t="s">
        <v>465</v>
      </c>
      <c r="B435" s="1">
        <v>45974</v>
      </c>
      <c r="C435" t="s">
        <v>10</v>
      </c>
      <c r="D435" t="s">
        <v>11</v>
      </c>
      <c r="E435">
        <v>6</v>
      </c>
      <c r="F435" s="2">
        <v>21000</v>
      </c>
      <c r="G435" s="2">
        <v>9700</v>
      </c>
      <c r="H435" t="s">
        <v>22</v>
      </c>
      <c r="I435" t="s">
        <v>13</v>
      </c>
      <c r="J435" s="2">
        <f>Ventas[[#This Row],[Cantidad]]*Ventas[[#This Row],[Precio_Unitario]]</f>
        <v>126000</v>
      </c>
      <c r="K435" s="2">
        <f>Ventas[[#This Row],[Cantidad]]*Ventas[[#This Row],[Costo_Unitario]]</f>
        <v>58200</v>
      </c>
      <c r="L435" s="2">
        <f>Ventas[[#This Row],[Ventas_Totales]]-Ventas[[#This Row],[Costo_Total]]</f>
        <v>67800</v>
      </c>
    </row>
    <row r="436" spans="1:12">
      <c r="A436" t="s">
        <v>466</v>
      </c>
      <c r="B436" s="1">
        <v>45974</v>
      </c>
      <c r="C436" t="s">
        <v>55</v>
      </c>
      <c r="D436" t="s">
        <v>16</v>
      </c>
      <c r="E436">
        <v>6</v>
      </c>
      <c r="F436" s="2">
        <v>224800</v>
      </c>
      <c r="G436" s="2">
        <v>149000</v>
      </c>
      <c r="H436" t="s">
        <v>12</v>
      </c>
      <c r="I436" t="s">
        <v>13</v>
      </c>
      <c r="J436" s="2">
        <f>Ventas[[#This Row],[Cantidad]]*Ventas[[#This Row],[Precio_Unitario]]</f>
        <v>1348800</v>
      </c>
      <c r="K436" s="2">
        <f>Ventas[[#This Row],[Cantidad]]*Ventas[[#This Row],[Costo_Unitario]]</f>
        <v>894000</v>
      </c>
      <c r="L436" s="2">
        <f>Ventas[[#This Row],[Ventas_Totales]]-Ventas[[#This Row],[Costo_Total]]</f>
        <v>454800</v>
      </c>
    </row>
    <row r="437" spans="1:12">
      <c r="A437" t="s">
        <v>467</v>
      </c>
      <c r="B437" s="1">
        <v>45975</v>
      </c>
      <c r="C437" t="s">
        <v>66</v>
      </c>
      <c r="D437" t="s">
        <v>34</v>
      </c>
      <c r="E437">
        <v>2</v>
      </c>
      <c r="F437" s="2">
        <v>27200</v>
      </c>
      <c r="G437" s="2">
        <v>14100</v>
      </c>
      <c r="H437" t="s">
        <v>17</v>
      </c>
      <c r="I437" t="s">
        <v>30</v>
      </c>
      <c r="J437" s="2">
        <f>Ventas[[#This Row],[Cantidad]]*Ventas[[#This Row],[Precio_Unitario]]</f>
        <v>54400</v>
      </c>
      <c r="K437" s="2">
        <f>Ventas[[#This Row],[Cantidad]]*Ventas[[#This Row],[Costo_Unitario]]</f>
        <v>28200</v>
      </c>
      <c r="L437" s="2">
        <f>Ventas[[#This Row],[Ventas_Totales]]-Ventas[[#This Row],[Costo_Total]]</f>
        <v>26200</v>
      </c>
    </row>
    <row r="438" spans="1:12">
      <c r="A438" t="s">
        <v>468</v>
      </c>
      <c r="B438" s="1">
        <v>45977</v>
      </c>
      <c r="C438" t="s">
        <v>39</v>
      </c>
      <c r="D438" t="s">
        <v>11</v>
      </c>
      <c r="E438">
        <v>2</v>
      </c>
      <c r="F438" s="2">
        <v>35500</v>
      </c>
      <c r="G438" s="2">
        <v>18100</v>
      </c>
      <c r="H438" t="s">
        <v>22</v>
      </c>
      <c r="I438" t="s">
        <v>64</v>
      </c>
      <c r="J438" s="2">
        <f>Ventas[[#This Row],[Cantidad]]*Ventas[[#This Row],[Precio_Unitario]]</f>
        <v>71000</v>
      </c>
      <c r="K438" s="2">
        <f>Ventas[[#This Row],[Cantidad]]*Ventas[[#This Row],[Costo_Unitario]]</f>
        <v>36200</v>
      </c>
      <c r="L438" s="2">
        <f>Ventas[[#This Row],[Ventas_Totales]]-Ventas[[#This Row],[Costo_Total]]</f>
        <v>34800</v>
      </c>
    </row>
    <row r="439" spans="1:12">
      <c r="A439" t="s">
        <v>469</v>
      </c>
      <c r="B439" s="1">
        <v>45977</v>
      </c>
      <c r="C439" t="s">
        <v>10</v>
      </c>
      <c r="D439" t="s">
        <v>11</v>
      </c>
      <c r="E439">
        <v>2</v>
      </c>
      <c r="F439" s="2">
        <v>21500</v>
      </c>
      <c r="G439" s="2">
        <v>9900</v>
      </c>
      <c r="H439" t="s">
        <v>22</v>
      </c>
      <c r="I439" t="s">
        <v>30</v>
      </c>
      <c r="J439" s="2">
        <f>Ventas[[#This Row],[Cantidad]]*Ventas[[#This Row],[Precio_Unitario]]</f>
        <v>43000</v>
      </c>
      <c r="K439" s="2">
        <f>Ventas[[#This Row],[Cantidad]]*Ventas[[#This Row],[Costo_Unitario]]</f>
        <v>19800</v>
      </c>
      <c r="L439" s="2">
        <f>Ventas[[#This Row],[Ventas_Totales]]-Ventas[[#This Row],[Costo_Total]]</f>
        <v>23200</v>
      </c>
    </row>
    <row r="440" spans="1:12">
      <c r="A440" t="s">
        <v>470</v>
      </c>
      <c r="B440" s="1">
        <v>45978</v>
      </c>
      <c r="C440" t="s">
        <v>39</v>
      </c>
      <c r="D440" t="s">
        <v>11</v>
      </c>
      <c r="E440">
        <v>2</v>
      </c>
      <c r="F440" s="2">
        <v>32800</v>
      </c>
      <c r="G440" s="2">
        <v>18200</v>
      </c>
      <c r="H440" t="s">
        <v>25</v>
      </c>
      <c r="I440" t="s">
        <v>64</v>
      </c>
      <c r="J440" s="2">
        <f>Ventas[[#This Row],[Cantidad]]*Ventas[[#This Row],[Precio_Unitario]]</f>
        <v>65600</v>
      </c>
      <c r="K440" s="2">
        <f>Ventas[[#This Row],[Cantidad]]*Ventas[[#This Row],[Costo_Unitario]]</f>
        <v>36400</v>
      </c>
      <c r="L440" s="2">
        <f>Ventas[[#This Row],[Ventas_Totales]]-Ventas[[#This Row],[Costo_Total]]</f>
        <v>29200</v>
      </c>
    </row>
    <row r="441" spans="1:12">
      <c r="A441" t="s">
        <v>471</v>
      </c>
      <c r="B441" s="1">
        <v>45979</v>
      </c>
      <c r="C441" t="s">
        <v>47</v>
      </c>
      <c r="D441" t="s">
        <v>16</v>
      </c>
      <c r="E441">
        <v>6</v>
      </c>
      <c r="F441" s="2">
        <v>667400</v>
      </c>
      <c r="G441" s="2">
        <v>452000</v>
      </c>
      <c r="H441" t="s">
        <v>22</v>
      </c>
      <c r="I441" t="s">
        <v>26</v>
      </c>
      <c r="J441" s="2">
        <f>Ventas[[#This Row],[Cantidad]]*Ventas[[#This Row],[Precio_Unitario]]</f>
        <v>4004400</v>
      </c>
      <c r="K441" s="2">
        <f>Ventas[[#This Row],[Cantidad]]*Ventas[[#This Row],[Costo_Unitario]]</f>
        <v>2712000</v>
      </c>
      <c r="L441" s="2">
        <f>Ventas[[#This Row],[Ventas_Totales]]-Ventas[[#This Row],[Costo_Total]]</f>
        <v>1292400</v>
      </c>
    </row>
    <row r="442" spans="1:12">
      <c r="A442" t="s">
        <v>472</v>
      </c>
      <c r="B442" s="1">
        <v>45979</v>
      </c>
      <c r="C442" t="s">
        <v>21</v>
      </c>
      <c r="D442" t="s">
        <v>11</v>
      </c>
      <c r="E442">
        <v>1</v>
      </c>
      <c r="F442" s="2">
        <v>43200</v>
      </c>
      <c r="G442" s="2">
        <v>23800</v>
      </c>
      <c r="H442" t="s">
        <v>12</v>
      </c>
      <c r="I442" t="s">
        <v>13</v>
      </c>
      <c r="J442" s="2">
        <f>Ventas[[#This Row],[Cantidad]]*Ventas[[#This Row],[Precio_Unitario]]</f>
        <v>43200</v>
      </c>
      <c r="K442" s="2">
        <f>Ventas[[#This Row],[Cantidad]]*Ventas[[#This Row],[Costo_Unitario]]</f>
        <v>23800</v>
      </c>
      <c r="L442" s="2">
        <f>Ventas[[#This Row],[Ventas_Totales]]-Ventas[[#This Row],[Costo_Total]]</f>
        <v>19400</v>
      </c>
    </row>
    <row r="443" spans="1:12">
      <c r="A443" t="s">
        <v>473</v>
      </c>
      <c r="B443" s="1">
        <v>45981</v>
      </c>
      <c r="C443" t="s">
        <v>37</v>
      </c>
      <c r="D443" t="s">
        <v>34</v>
      </c>
      <c r="E443">
        <v>5</v>
      </c>
      <c r="F443" s="2">
        <v>284700</v>
      </c>
      <c r="G443" s="2">
        <v>180600</v>
      </c>
      <c r="H443" t="s">
        <v>22</v>
      </c>
      <c r="I443" t="s">
        <v>13</v>
      </c>
      <c r="J443" s="2">
        <f>Ventas[[#This Row],[Cantidad]]*Ventas[[#This Row],[Precio_Unitario]]</f>
        <v>1423500</v>
      </c>
      <c r="K443" s="2">
        <f>Ventas[[#This Row],[Cantidad]]*Ventas[[#This Row],[Costo_Unitario]]</f>
        <v>903000</v>
      </c>
      <c r="L443" s="2">
        <f>Ventas[[#This Row],[Ventas_Totales]]-Ventas[[#This Row],[Costo_Total]]</f>
        <v>520500</v>
      </c>
    </row>
    <row r="444" spans="1:12">
      <c r="A444" t="s">
        <v>474</v>
      </c>
      <c r="B444" s="1">
        <v>45981</v>
      </c>
      <c r="C444" t="s">
        <v>39</v>
      </c>
      <c r="D444" t="s">
        <v>11</v>
      </c>
      <c r="E444">
        <v>7</v>
      </c>
      <c r="F444" s="2">
        <v>38400</v>
      </c>
      <c r="G444" s="2">
        <v>17700</v>
      </c>
      <c r="H444" t="s">
        <v>22</v>
      </c>
      <c r="I444" t="s">
        <v>64</v>
      </c>
      <c r="J444" s="2">
        <f>Ventas[[#This Row],[Cantidad]]*Ventas[[#This Row],[Precio_Unitario]]</f>
        <v>268800</v>
      </c>
      <c r="K444" s="2">
        <f>Ventas[[#This Row],[Cantidad]]*Ventas[[#This Row],[Costo_Unitario]]</f>
        <v>123900</v>
      </c>
      <c r="L444" s="2">
        <f>Ventas[[#This Row],[Ventas_Totales]]-Ventas[[#This Row],[Costo_Total]]</f>
        <v>144900</v>
      </c>
    </row>
    <row r="445" spans="1:12">
      <c r="A445" t="s">
        <v>475</v>
      </c>
      <c r="B445" s="1">
        <v>45981</v>
      </c>
      <c r="C445" t="s">
        <v>39</v>
      </c>
      <c r="D445" t="s">
        <v>11</v>
      </c>
      <c r="E445">
        <v>3</v>
      </c>
      <c r="F445" s="2">
        <v>33500</v>
      </c>
      <c r="G445" s="2">
        <v>18500</v>
      </c>
      <c r="H445" t="s">
        <v>22</v>
      </c>
      <c r="I445" t="s">
        <v>13</v>
      </c>
      <c r="J445" s="2">
        <f>Ventas[[#This Row],[Cantidad]]*Ventas[[#This Row],[Precio_Unitario]]</f>
        <v>100500</v>
      </c>
      <c r="K445" s="2">
        <f>Ventas[[#This Row],[Cantidad]]*Ventas[[#This Row],[Costo_Unitario]]</f>
        <v>55500</v>
      </c>
      <c r="L445" s="2">
        <f>Ventas[[#This Row],[Ventas_Totales]]-Ventas[[#This Row],[Costo_Total]]</f>
        <v>45000</v>
      </c>
    </row>
    <row r="446" spans="1:12">
      <c r="A446" t="s">
        <v>476</v>
      </c>
      <c r="B446" s="1">
        <v>45983</v>
      </c>
      <c r="C446" t="s">
        <v>21</v>
      </c>
      <c r="D446" t="s">
        <v>11</v>
      </c>
      <c r="E446">
        <v>1</v>
      </c>
      <c r="F446" s="2">
        <v>39800</v>
      </c>
      <c r="G446" s="2">
        <v>23800</v>
      </c>
      <c r="H446" t="s">
        <v>19</v>
      </c>
      <c r="I446" t="s">
        <v>13</v>
      </c>
      <c r="J446" s="2">
        <f>Ventas[[#This Row],[Cantidad]]*Ventas[[#This Row],[Precio_Unitario]]</f>
        <v>39800</v>
      </c>
      <c r="K446" s="2">
        <f>Ventas[[#This Row],[Cantidad]]*Ventas[[#This Row],[Costo_Unitario]]</f>
        <v>23800</v>
      </c>
      <c r="L446" s="2">
        <f>Ventas[[#This Row],[Ventas_Totales]]-Ventas[[#This Row],[Costo_Total]]</f>
        <v>16000</v>
      </c>
    </row>
    <row r="447" spans="1:12">
      <c r="A447" t="s">
        <v>477</v>
      </c>
      <c r="B447" s="1">
        <v>45984</v>
      </c>
      <c r="C447" t="s">
        <v>10</v>
      </c>
      <c r="D447" t="s">
        <v>11</v>
      </c>
      <c r="E447">
        <v>2</v>
      </c>
      <c r="F447" s="2">
        <v>23400</v>
      </c>
      <c r="G447" s="2">
        <v>10000</v>
      </c>
      <c r="H447" t="s">
        <v>19</v>
      </c>
      <c r="I447" t="s">
        <v>13</v>
      </c>
      <c r="J447" s="2">
        <f>Ventas[[#This Row],[Cantidad]]*Ventas[[#This Row],[Precio_Unitario]]</f>
        <v>46800</v>
      </c>
      <c r="K447" s="2">
        <f>Ventas[[#This Row],[Cantidad]]*Ventas[[#This Row],[Costo_Unitario]]</f>
        <v>20000</v>
      </c>
      <c r="L447" s="2">
        <f>Ventas[[#This Row],[Ventas_Totales]]-Ventas[[#This Row],[Costo_Total]]</f>
        <v>26800</v>
      </c>
    </row>
    <row r="448" spans="1:12">
      <c r="A448" t="s">
        <v>478</v>
      </c>
      <c r="B448" s="1">
        <v>45985</v>
      </c>
      <c r="C448" t="s">
        <v>10</v>
      </c>
      <c r="D448" t="s">
        <v>11</v>
      </c>
      <c r="E448">
        <v>6</v>
      </c>
      <c r="F448" s="2">
        <v>22300</v>
      </c>
      <c r="G448" s="2">
        <v>10400</v>
      </c>
      <c r="H448" t="s">
        <v>19</v>
      </c>
      <c r="I448" t="s">
        <v>13</v>
      </c>
      <c r="J448" s="2">
        <f>Ventas[[#This Row],[Cantidad]]*Ventas[[#This Row],[Precio_Unitario]]</f>
        <v>133800</v>
      </c>
      <c r="K448" s="2">
        <f>Ventas[[#This Row],[Cantidad]]*Ventas[[#This Row],[Costo_Unitario]]</f>
        <v>62400</v>
      </c>
      <c r="L448" s="2">
        <f>Ventas[[#This Row],[Ventas_Totales]]-Ventas[[#This Row],[Costo_Total]]</f>
        <v>71400</v>
      </c>
    </row>
    <row r="449" spans="1:12">
      <c r="A449" t="s">
        <v>479</v>
      </c>
      <c r="B449" s="1">
        <v>45985</v>
      </c>
      <c r="C449" t="s">
        <v>24</v>
      </c>
      <c r="D449" t="s">
        <v>11</v>
      </c>
      <c r="E449">
        <v>6</v>
      </c>
      <c r="F449" s="2">
        <v>51400</v>
      </c>
      <c r="G449" s="2">
        <v>25300</v>
      </c>
      <c r="H449" t="s">
        <v>25</v>
      </c>
      <c r="I449" t="s">
        <v>72</v>
      </c>
      <c r="J449" s="2">
        <f>Ventas[[#This Row],[Cantidad]]*Ventas[[#This Row],[Precio_Unitario]]</f>
        <v>308400</v>
      </c>
      <c r="K449" s="2">
        <f>Ventas[[#This Row],[Cantidad]]*Ventas[[#This Row],[Costo_Unitario]]</f>
        <v>151800</v>
      </c>
      <c r="L449" s="2">
        <f>Ventas[[#This Row],[Ventas_Totales]]-Ventas[[#This Row],[Costo_Total]]</f>
        <v>156600</v>
      </c>
    </row>
    <row r="450" spans="1:12">
      <c r="A450" t="s">
        <v>480</v>
      </c>
      <c r="B450" s="1">
        <v>45987</v>
      </c>
      <c r="C450" t="s">
        <v>39</v>
      </c>
      <c r="D450" t="s">
        <v>11</v>
      </c>
      <c r="E450">
        <v>7</v>
      </c>
      <c r="F450" s="2">
        <v>36000</v>
      </c>
      <c r="G450" s="2">
        <v>17500</v>
      </c>
      <c r="H450" t="s">
        <v>25</v>
      </c>
      <c r="I450" t="s">
        <v>64</v>
      </c>
      <c r="J450" s="2">
        <f>Ventas[[#This Row],[Cantidad]]*Ventas[[#This Row],[Precio_Unitario]]</f>
        <v>252000</v>
      </c>
      <c r="K450" s="2">
        <f>Ventas[[#This Row],[Cantidad]]*Ventas[[#This Row],[Costo_Unitario]]</f>
        <v>122500</v>
      </c>
      <c r="L450" s="2">
        <f>Ventas[[#This Row],[Ventas_Totales]]-Ventas[[#This Row],[Costo_Total]]</f>
        <v>129500</v>
      </c>
    </row>
    <row r="451" spans="1:12">
      <c r="A451" t="s">
        <v>481</v>
      </c>
      <c r="B451" s="1">
        <v>45987</v>
      </c>
      <c r="C451" t="s">
        <v>55</v>
      </c>
      <c r="D451" t="s">
        <v>16</v>
      </c>
      <c r="E451">
        <v>1</v>
      </c>
      <c r="F451" s="2">
        <v>232200</v>
      </c>
      <c r="G451" s="2">
        <v>144400</v>
      </c>
      <c r="H451" t="s">
        <v>25</v>
      </c>
      <c r="I451" t="s">
        <v>30</v>
      </c>
      <c r="J451" s="2">
        <f>Ventas[[#This Row],[Cantidad]]*Ventas[[#This Row],[Precio_Unitario]]</f>
        <v>232200</v>
      </c>
      <c r="K451" s="2">
        <f>Ventas[[#This Row],[Cantidad]]*Ventas[[#This Row],[Costo_Unitario]]</f>
        <v>144400</v>
      </c>
      <c r="L451" s="2">
        <f>Ventas[[#This Row],[Ventas_Totales]]-Ventas[[#This Row],[Costo_Total]]</f>
        <v>87800</v>
      </c>
    </row>
    <row r="452" spans="1:12">
      <c r="A452" t="s">
        <v>482</v>
      </c>
      <c r="B452" s="1">
        <v>45987</v>
      </c>
      <c r="C452" t="s">
        <v>47</v>
      </c>
      <c r="D452" t="s">
        <v>16</v>
      </c>
      <c r="E452">
        <v>7</v>
      </c>
      <c r="F452" s="2">
        <v>603000</v>
      </c>
      <c r="G452" s="2">
        <v>468100</v>
      </c>
      <c r="H452" t="s">
        <v>22</v>
      </c>
      <c r="I452" t="s">
        <v>13</v>
      </c>
      <c r="J452" s="2">
        <f>Ventas[[#This Row],[Cantidad]]*Ventas[[#This Row],[Precio_Unitario]]</f>
        <v>4221000</v>
      </c>
      <c r="K452" s="2">
        <f>Ventas[[#This Row],[Cantidad]]*Ventas[[#This Row],[Costo_Unitario]]</f>
        <v>3276700</v>
      </c>
      <c r="L452" s="2">
        <f>Ventas[[#This Row],[Ventas_Totales]]-Ventas[[#This Row],[Costo_Total]]</f>
        <v>944300</v>
      </c>
    </row>
    <row r="453" spans="1:12">
      <c r="A453" t="s">
        <v>483</v>
      </c>
      <c r="B453" s="1">
        <v>45987</v>
      </c>
      <c r="C453" t="s">
        <v>55</v>
      </c>
      <c r="D453" t="s">
        <v>16</v>
      </c>
      <c r="E453">
        <v>1</v>
      </c>
      <c r="F453" s="2">
        <v>226200</v>
      </c>
      <c r="G453" s="2">
        <v>152900</v>
      </c>
      <c r="H453" t="s">
        <v>12</v>
      </c>
      <c r="I453" t="s">
        <v>13</v>
      </c>
      <c r="J453" s="2">
        <f>Ventas[[#This Row],[Cantidad]]*Ventas[[#This Row],[Precio_Unitario]]</f>
        <v>226200</v>
      </c>
      <c r="K453" s="2">
        <f>Ventas[[#This Row],[Cantidad]]*Ventas[[#This Row],[Costo_Unitario]]</f>
        <v>152900</v>
      </c>
      <c r="L453" s="2">
        <f>Ventas[[#This Row],[Ventas_Totales]]-Ventas[[#This Row],[Costo_Total]]</f>
        <v>73300</v>
      </c>
    </row>
    <row r="454" spans="1:12">
      <c r="A454" t="s">
        <v>484</v>
      </c>
      <c r="B454" s="1">
        <v>45989</v>
      </c>
      <c r="C454" t="s">
        <v>55</v>
      </c>
      <c r="D454" t="s">
        <v>16</v>
      </c>
      <c r="E454">
        <v>5</v>
      </c>
      <c r="F454" s="2">
        <v>221400</v>
      </c>
      <c r="G454" s="2">
        <v>155700</v>
      </c>
      <c r="H454" t="s">
        <v>17</v>
      </c>
      <c r="I454" t="s">
        <v>13</v>
      </c>
      <c r="J454" s="2">
        <f>Ventas[[#This Row],[Cantidad]]*Ventas[[#This Row],[Precio_Unitario]]</f>
        <v>1107000</v>
      </c>
      <c r="K454" s="2">
        <f>Ventas[[#This Row],[Cantidad]]*Ventas[[#This Row],[Costo_Unitario]]</f>
        <v>778500</v>
      </c>
      <c r="L454" s="2">
        <f>Ventas[[#This Row],[Ventas_Totales]]-Ventas[[#This Row],[Costo_Total]]</f>
        <v>328500</v>
      </c>
    </row>
    <row r="455" spans="1:12">
      <c r="A455" t="s">
        <v>485</v>
      </c>
      <c r="B455" s="1">
        <v>45989</v>
      </c>
      <c r="C455" t="s">
        <v>47</v>
      </c>
      <c r="D455" t="s">
        <v>16</v>
      </c>
      <c r="E455">
        <v>4</v>
      </c>
      <c r="F455" s="2">
        <v>703600</v>
      </c>
      <c r="G455" s="2">
        <v>482400</v>
      </c>
      <c r="H455" t="s">
        <v>19</v>
      </c>
      <c r="I455" t="s">
        <v>72</v>
      </c>
      <c r="J455" s="2">
        <f>Ventas[[#This Row],[Cantidad]]*Ventas[[#This Row],[Precio_Unitario]]</f>
        <v>2814400</v>
      </c>
      <c r="K455" s="2">
        <f>Ventas[[#This Row],[Cantidad]]*Ventas[[#This Row],[Costo_Unitario]]</f>
        <v>1929600</v>
      </c>
      <c r="L455" s="2">
        <f>Ventas[[#This Row],[Ventas_Totales]]-Ventas[[#This Row],[Costo_Total]]</f>
        <v>884800</v>
      </c>
    </row>
    <row r="456" spans="1:12">
      <c r="A456" t="s">
        <v>486</v>
      </c>
      <c r="B456" s="1">
        <v>45989</v>
      </c>
      <c r="C456" t="s">
        <v>10</v>
      </c>
      <c r="D456" t="s">
        <v>11</v>
      </c>
      <c r="E456">
        <v>2</v>
      </c>
      <c r="F456" s="2">
        <v>20500</v>
      </c>
      <c r="G456" s="2">
        <v>9900</v>
      </c>
      <c r="H456" t="s">
        <v>19</v>
      </c>
      <c r="I456" t="s">
        <v>64</v>
      </c>
      <c r="J456" s="2">
        <f>Ventas[[#This Row],[Cantidad]]*Ventas[[#This Row],[Precio_Unitario]]</f>
        <v>41000</v>
      </c>
      <c r="K456" s="2">
        <f>Ventas[[#This Row],[Cantidad]]*Ventas[[#This Row],[Costo_Unitario]]</f>
        <v>19800</v>
      </c>
      <c r="L456" s="2">
        <f>Ventas[[#This Row],[Ventas_Totales]]-Ventas[[#This Row],[Costo_Total]]</f>
        <v>21200</v>
      </c>
    </row>
    <row r="457" spans="1:12">
      <c r="A457" t="s">
        <v>487</v>
      </c>
      <c r="B457" s="1">
        <v>45989</v>
      </c>
      <c r="C457" t="s">
        <v>10</v>
      </c>
      <c r="D457" t="s">
        <v>11</v>
      </c>
      <c r="E457">
        <v>5</v>
      </c>
      <c r="F457" s="2">
        <v>20800</v>
      </c>
      <c r="G457" s="2">
        <v>10200</v>
      </c>
      <c r="H457" t="s">
        <v>12</v>
      </c>
      <c r="I457" t="s">
        <v>30</v>
      </c>
      <c r="J457" s="2">
        <f>Ventas[[#This Row],[Cantidad]]*Ventas[[#This Row],[Precio_Unitario]]</f>
        <v>104000</v>
      </c>
      <c r="K457" s="2">
        <f>Ventas[[#This Row],[Cantidad]]*Ventas[[#This Row],[Costo_Unitario]]</f>
        <v>51000</v>
      </c>
      <c r="L457" s="2">
        <f>Ventas[[#This Row],[Ventas_Totales]]-Ventas[[#This Row],[Costo_Total]]</f>
        <v>53000</v>
      </c>
    </row>
    <row r="458" spans="1:12">
      <c r="A458" t="s">
        <v>488</v>
      </c>
      <c r="B458" s="1">
        <v>45992</v>
      </c>
      <c r="C458" t="s">
        <v>39</v>
      </c>
      <c r="D458" t="s">
        <v>11</v>
      </c>
      <c r="E458">
        <v>6</v>
      </c>
      <c r="F458" s="2">
        <v>34400</v>
      </c>
      <c r="G458" s="2">
        <v>18300</v>
      </c>
      <c r="H458" t="s">
        <v>19</v>
      </c>
      <c r="I458" t="s">
        <v>26</v>
      </c>
      <c r="J458" s="2">
        <f>Ventas[[#This Row],[Cantidad]]*Ventas[[#This Row],[Precio_Unitario]]</f>
        <v>206400</v>
      </c>
      <c r="K458" s="2">
        <f>Ventas[[#This Row],[Cantidad]]*Ventas[[#This Row],[Costo_Unitario]]</f>
        <v>109800</v>
      </c>
      <c r="L458" s="2">
        <f>Ventas[[#This Row],[Ventas_Totales]]-Ventas[[#This Row],[Costo_Total]]</f>
        <v>96600</v>
      </c>
    </row>
    <row r="459" spans="1:12">
      <c r="A459" t="s">
        <v>489</v>
      </c>
      <c r="B459" s="1">
        <v>45992</v>
      </c>
      <c r="C459" t="s">
        <v>33</v>
      </c>
      <c r="D459" t="s">
        <v>34</v>
      </c>
      <c r="E459">
        <v>2</v>
      </c>
      <c r="F459" s="2">
        <v>183000</v>
      </c>
      <c r="G459" s="2">
        <v>116000</v>
      </c>
      <c r="H459" t="s">
        <v>17</v>
      </c>
      <c r="I459" t="s">
        <v>64</v>
      </c>
      <c r="J459" s="2">
        <f>Ventas[[#This Row],[Cantidad]]*Ventas[[#This Row],[Precio_Unitario]]</f>
        <v>366000</v>
      </c>
      <c r="K459" s="2">
        <f>Ventas[[#This Row],[Cantidad]]*Ventas[[#This Row],[Costo_Unitario]]</f>
        <v>232000</v>
      </c>
      <c r="L459" s="2">
        <f>Ventas[[#This Row],[Ventas_Totales]]-Ventas[[#This Row],[Costo_Total]]</f>
        <v>134000</v>
      </c>
    </row>
    <row r="460" spans="1:12">
      <c r="A460" t="s">
        <v>490</v>
      </c>
      <c r="B460" s="1">
        <v>45993</v>
      </c>
      <c r="C460" t="s">
        <v>37</v>
      </c>
      <c r="D460" t="s">
        <v>34</v>
      </c>
      <c r="E460">
        <v>6</v>
      </c>
      <c r="F460" s="2">
        <v>284600</v>
      </c>
      <c r="G460" s="2">
        <v>180700</v>
      </c>
      <c r="H460" t="s">
        <v>12</v>
      </c>
      <c r="I460" t="s">
        <v>13</v>
      </c>
      <c r="J460" s="2">
        <f>Ventas[[#This Row],[Cantidad]]*Ventas[[#This Row],[Precio_Unitario]]</f>
        <v>1707600</v>
      </c>
      <c r="K460" s="2">
        <f>Ventas[[#This Row],[Cantidad]]*Ventas[[#This Row],[Costo_Unitario]]</f>
        <v>1084200</v>
      </c>
      <c r="L460" s="2">
        <f>Ventas[[#This Row],[Ventas_Totales]]-Ventas[[#This Row],[Costo_Total]]</f>
        <v>623400</v>
      </c>
    </row>
    <row r="461" spans="1:12">
      <c r="A461" t="s">
        <v>491</v>
      </c>
      <c r="B461" s="1">
        <v>45993</v>
      </c>
      <c r="C461" t="s">
        <v>37</v>
      </c>
      <c r="D461" t="s">
        <v>34</v>
      </c>
      <c r="E461">
        <v>2</v>
      </c>
      <c r="F461" s="2">
        <v>247600</v>
      </c>
      <c r="G461" s="2">
        <v>180700</v>
      </c>
      <c r="H461" t="s">
        <v>12</v>
      </c>
      <c r="I461" t="s">
        <v>30</v>
      </c>
      <c r="J461" s="2">
        <f>Ventas[[#This Row],[Cantidad]]*Ventas[[#This Row],[Precio_Unitario]]</f>
        <v>495200</v>
      </c>
      <c r="K461" s="2">
        <f>Ventas[[#This Row],[Cantidad]]*Ventas[[#This Row],[Costo_Unitario]]</f>
        <v>361400</v>
      </c>
      <c r="L461" s="2">
        <f>Ventas[[#This Row],[Ventas_Totales]]-Ventas[[#This Row],[Costo_Total]]</f>
        <v>133800</v>
      </c>
    </row>
    <row r="462" spans="1:12">
      <c r="A462" t="s">
        <v>492</v>
      </c>
      <c r="B462" s="1">
        <v>45994</v>
      </c>
      <c r="C462" t="s">
        <v>66</v>
      </c>
      <c r="D462" t="s">
        <v>34</v>
      </c>
      <c r="E462">
        <v>7</v>
      </c>
      <c r="F462" s="2">
        <v>26600</v>
      </c>
      <c r="G462" s="2">
        <v>13700</v>
      </c>
      <c r="H462" t="s">
        <v>17</v>
      </c>
      <c r="I462" t="s">
        <v>64</v>
      </c>
      <c r="J462" s="2">
        <f>Ventas[[#This Row],[Cantidad]]*Ventas[[#This Row],[Precio_Unitario]]</f>
        <v>186200</v>
      </c>
      <c r="K462" s="2">
        <f>Ventas[[#This Row],[Cantidad]]*Ventas[[#This Row],[Costo_Unitario]]</f>
        <v>95900</v>
      </c>
      <c r="L462" s="2">
        <f>Ventas[[#This Row],[Ventas_Totales]]-Ventas[[#This Row],[Costo_Total]]</f>
        <v>90300</v>
      </c>
    </row>
    <row r="463" spans="1:12">
      <c r="A463" t="s">
        <v>493</v>
      </c>
      <c r="B463" s="1">
        <v>45995</v>
      </c>
      <c r="C463" t="s">
        <v>55</v>
      </c>
      <c r="D463" t="s">
        <v>16</v>
      </c>
      <c r="E463">
        <v>3</v>
      </c>
      <c r="F463" s="2">
        <v>226700</v>
      </c>
      <c r="G463" s="2">
        <v>153100</v>
      </c>
      <c r="H463" t="s">
        <v>19</v>
      </c>
      <c r="I463" t="s">
        <v>13</v>
      </c>
      <c r="J463" s="2">
        <f>Ventas[[#This Row],[Cantidad]]*Ventas[[#This Row],[Precio_Unitario]]</f>
        <v>680100</v>
      </c>
      <c r="K463" s="2">
        <f>Ventas[[#This Row],[Cantidad]]*Ventas[[#This Row],[Costo_Unitario]]</f>
        <v>459300</v>
      </c>
      <c r="L463" s="2">
        <f>Ventas[[#This Row],[Ventas_Totales]]-Ventas[[#This Row],[Costo_Total]]</f>
        <v>220800</v>
      </c>
    </row>
    <row r="464" spans="1:12">
      <c r="A464" t="s">
        <v>494</v>
      </c>
      <c r="B464" s="1">
        <v>45995</v>
      </c>
      <c r="C464" t="s">
        <v>10</v>
      </c>
      <c r="D464" t="s">
        <v>11</v>
      </c>
      <c r="E464">
        <v>5</v>
      </c>
      <c r="F464" s="2">
        <v>23200</v>
      </c>
      <c r="G464" s="2">
        <v>9900</v>
      </c>
      <c r="H464" t="s">
        <v>19</v>
      </c>
      <c r="I464" t="s">
        <v>13</v>
      </c>
      <c r="J464" s="2">
        <f>Ventas[[#This Row],[Cantidad]]*Ventas[[#This Row],[Precio_Unitario]]</f>
        <v>116000</v>
      </c>
      <c r="K464" s="2">
        <f>Ventas[[#This Row],[Cantidad]]*Ventas[[#This Row],[Costo_Unitario]]</f>
        <v>49500</v>
      </c>
      <c r="L464" s="2">
        <f>Ventas[[#This Row],[Ventas_Totales]]-Ventas[[#This Row],[Costo_Total]]</f>
        <v>66500</v>
      </c>
    </row>
    <row r="465" spans="1:12">
      <c r="A465" t="s">
        <v>495</v>
      </c>
      <c r="B465" s="1">
        <v>45996</v>
      </c>
      <c r="C465" t="s">
        <v>21</v>
      </c>
      <c r="D465" t="s">
        <v>11</v>
      </c>
      <c r="E465">
        <v>1</v>
      </c>
      <c r="F465" s="2">
        <v>42700</v>
      </c>
      <c r="G465" s="2">
        <v>22400</v>
      </c>
      <c r="H465" t="s">
        <v>25</v>
      </c>
      <c r="I465" t="s">
        <v>30</v>
      </c>
      <c r="J465" s="2">
        <f>Ventas[[#This Row],[Cantidad]]*Ventas[[#This Row],[Precio_Unitario]]</f>
        <v>42700</v>
      </c>
      <c r="K465" s="2">
        <f>Ventas[[#This Row],[Cantidad]]*Ventas[[#This Row],[Costo_Unitario]]</f>
        <v>22400</v>
      </c>
      <c r="L465" s="2">
        <f>Ventas[[#This Row],[Ventas_Totales]]-Ventas[[#This Row],[Costo_Total]]</f>
        <v>20300</v>
      </c>
    </row>
    <row r="466" spans="1:12">
      <c r="A466" t="s">
        <v>496</v>
      </c>
      <c r="B466" s="1">
        <v>45997</v>
      </c>
      <c r="C466" t="s">
        <v>10</v>
      </c>
      <c r="D466" t="s">
        <v>11</v>
      </c>
      <c r="E466">
        <v>4</v>
      </c>
      <c r="F466" s="2">
        <v>21900</v>
      </c>
      <c r="G466" s="2">
        <v>9700</v>
      </c>
      <c r="H466" t="s">
        <v>19</v>
      </c>
      <c r="I466" t="s">
        <v>13</v>
      </c>
      <c r="J466" s="2">
        <f>Ventas[[#This Row],[Cantidad]]*Ventas[[#This Row],[Precio_Unitario]]</f>
        <v>87600</v>
      </c>
      <c r="K466" s="2">
        <f>Ventas[[#This Row],[Cantidad]]*Ventas[[#This Row],[Costo_Unitario]]</f>
        <v>38800</v>
      </c>
      <c r="L466" s="2">
        <f>Ventas[[#This Row],[Ventas_Totales]]-Ventas[[#This Row],[Costo_Total]]</f>
        <v>48800</v>
      </c>
    </row>
    <row r="467" spans="1:12">
      <c r="A467" t="s">
        <v>497</v>
      </c>
      <c r="B467" s="1">
        <v>45998</v>
      </c>
      <c r="C467" t="s">
        <v>55</v>
      </c>
      <c r="D467" t="s">
        <v>16</v>
      </c>
      <c r="E467">
        <v>3</v>
      </c>
      <c r="F467" s="2">
        <v>214600</v>
      </c>
      <c r="G467" s="2">
        <v>147600</v>
      </c>
      <c r="H467" t="s">
        <v>25</v>
      </c>
      <c r="I467" t="s">
        <v>26</v>
      </c>
      <c r="J467" s="2">
        <f>Ventas[[#This Row],[Cantidad]]*Ventas[[#This Row],[Precio_Unitario]]</f>
        <v>643800</v>
      </c>
      <c r="K467" s="2">
        <f>Ventas[[#This Row],[Cantidad]]*Ventas[[#This Row],[Costo_Unitario]]</f>
        <v>442800</v>
      </c>
      <c r="L467" s="2">
        <f>Ventas[[#This Row],[Ventas_Totales]]-Ventas[[#This Row],[Costo_Total]]</f>
        <v>201000</v>
      </c>
    </row>
    <row r="468" spans="1:12">
      <c r="A468" t="s">
        <v>498</v>
      </c>
      <c r="B468" s="1">
        <v>45999</v>
      </c>
      <c r="C468" t="s">
        <v>55</v>
      </c>
      <c r="D468" t="s">
        <v>16</v>
      </c>
      <c r="E468">
        <v>7</v>
      </c>
      <c r="F468" s="2">
        <v>227400</v>
      </c>
      <c r="G468" s="2">
        <v>150300</v>
      </c>
      <c r="H468" t="s">
        <v>12</v>
      </c>
      <c r="I468" t="s">
        <v>13</v>
      </c>
      <c r="J468" s="2">
        <f>Ventas[[#This Row],[Cantidad]]*Ventas[[#This Row],[Precio_Unitario]]</f>
        <v>1591800</v>
      </c>
      <c r="K468" s="2">
        <f>Ventas[[#This Row],[Cantidad]]*Ventas[[#This Row],[Costo_Unitario]]</f>
        <v>1052100</v>
      </c>
      <c r="L468" s="2">
        <f>Ventas[[#This Row],[Ventas_Totales]]-Ventas[[#This Row],[Costo_Total]]</f>
        <v>539700</v>
      </c>
    </row>
    <row r="469" spans="1:12">
      <c r="A469" t="s">
        <v>499</v>
      </c>
      <c r="B469" s="1">
        <v>46000</v>
      </c>
      <c r="C469" t="s">
        <v>24</v>
      </c>
      <c r="D469" t="s">
        <v>11</v>
      </c>
      <c r="E469">
        <v>2</v>
      </c>
      <c r="F469" s="2">
        <v>50700</v>
      </c>
      <c r="G469" s="2">
        <v>26200</v>
      </c>
      <c r="H469" t="s">
        <v>22</v>
      </c>
      <c r="I469" t="s">
        <v>13</v>
      </c>
      <c r="J469" s="2">
        <f>Ventas[[#This Row],[Cantidad]]*Ventas[[#This Row],[Precio_Unitario]]</f>
        <v>101400</v>
      </c>
      <c r="K469" s="2">
        <f>Ventas[[#This Row],[Cantidad]]*Ventas[[#This Row],[Costo_Unitario]]</f>
        <v>52400</v>
      </c>
      <c r="L469" s="2">
        <f>Ventas[[#This Row],[Ventas_Totales]]-Ventas[[#This Row],[Costo_Total]]</f>
        <v>49000</v>
      </c>
    </row>
    <row r="470" spans="1:12">
      <c r="A470" t="s">
        <v>500</v>
      </c>
      <c r="B470" s="1">
        <v>46001</v>
      </c>
      <c r="C470" t="s">
        <v>39</v>
      </c>
      <c r="D470" t="s">
        <v>11</v>
      </c>
      <c r="E470">
        <v>2</v>
      </c>
      <c r="F470" s="2">
        <v>32700</v>
      </c>
      <c r="G470" s="2">
        <v>18300</v>
      </c>
      <c r="H470" t="s">
        <v>25</v>
      </c>
      <c r="I470" t="s">
        <v>72</v>
      </c>
      <c r="J470" s="2">
        <f>Ventas[[#This Row],[Cantidad]]*Ventas[[#This Row],[Precio_Unitario]]</f>
        <v>65400</v>
      </c>
      <c r="K470" s="2">
        <f>Ventas[[#This Row],[Cantidad]]*Ventas[[#This Row],[Costo_Unitario]]</f>
        <v>36600</v>
      </c>
      <c r="L470" s="2">
        <f>Ventas[[#This Row],[Ventas_Totales]]-Ventas[[#This Row],[Costo_Total]]</f>
        <v>28800</v>
      </c>
    </row>
    <row r="471" spans="1:12">
      <c r="A471" t="s">
        <v>501</v>
      </c>
      <c r="B471" s="1">
        <v>46004</v>
      </c>
      <c r="C471" t="s">
        <v>21</v>
      </c>
      <c r="D471" t="s">
        <v>11</v>
      </c>
      <c r="E471">
        <v>3</v>
      </c>
      <c r="F471" s="2">
        <v>41700</v>
      </c>
      <c r="G471" s="2">
        <v>23500</v>
      </c>
      <c r="H471" t="s">
        <v>25</v>
      </c>
      <c r="I471" t="s">
        <v>13</v>
      </c>
      <c r="J471" s="2">
        <f>Ventas[[#This Row],[Cantidad]]*Ventas[[#This Row],[Precio_Unitario]]</f>
        <v>125100</v>
      </c>
      <c r="K471" s="2">
        <f>Ventas[[#This Row],[Cantidad]]*Ventas[[#This Row],[Costo_Unitario]]</f>
        <v>70500</v>
      </c>
      <c r="L471" s="2">
        <f>Ventas[[#This Row],[Ventas_Totales]]-Ventas[[#This Row],[Costo_Total]]</f>
        <v>54600</v>
      </c>
    </row>
    <row r="472" spans="1:12">
      <c r="A472" t="s">
        <v>502</v>
      </c>
      <c r="B472" s="1">
        <v>46005</v>
      </c>
      <c r="C472" t="s">
        <v>55</v>
      </c>
      <c r="D472" t="s">
        <v>16</v>
      </c>
      <c r="E472">
        <v>1</v>
      </c>
      <c r="F472" s="2">
        <v>206100</v>
      </c>
      <c r="G472" s="2">
        <v>154700</v>
      </c>
      <c r="H472" t="s">
        <v>12</v>
      </c>
      <c r="I472" t="s">
        <v>13</v>
      </c>
      <c r="J472" s="2">
        <f>Ventas[[#This Row],[Cantidad]]*Ventas[[#This Row],[Precio_Unitario]]</f>
        <v>206100</v>
      </c>
      <c r="K472" s="2">
        <f>Ventas[[#This Row],[Cantidad]]*Ventas[[#This Row],[Costo_Unitario]]</f>
        <v>154700</v>
      </c>
      <c r="L472" s="2">
        <f>Ventas[[#This Row],[Ventas_Totales]]-Ventas[[#This Row],[Costo_Total]]</f>
        <v>51400</v>
      </c>
    </row>
    <row r="473" spans="1:12">
      <c r="A473" t="s">
        <v>503</v>
      </c>
      <c r="B473" s="1">
        <v>46005</v>
      </c>
      <c r="C473" t="s">
        <v>47</v>
      </c>
      <c r="D473" t="s">
        <v>16</v>
      </c>
      <c r="E473">
        <v>4</v>
      </c>
      <c r="F473" s="2">
        <v>641200</v>
      </c>
      <c r="G473" s="2">
        <v>472500</v>
      </c>
      <c r="H473" t="s">
        <v>22</v>
      </c>
      <c r="I473" t="s">
        <v>30</v>
      </c>
      <c r="J473" s="2">
        <f>Ventas[[#This Row],[Cantidad]]*Ventas[[#This Row],[Precio_Unitario]]</f>
        <v>2564800</v>
      </c>
      <c r="K473" s="2">
        <f>Ventas[[#This Row],[Cantidad]]*Ventas[[#This Row],[Costo_Unitario]]</f>
        <v>1890000</v>
      </c>
      <c r="L473" s="2">
        <f>Ventas[[#This Row],[Ventas_Totales]]-Ventas[[#This Row],[Costo_Total]]</f>
        <v>674800</v>
      </c>
    </row>
    <row r="474" spans="1:12">
      <c r="A474" t="s">
        <v>504</v>
      </c>
      <c r="B474" s="1">
        <v>46006</v>
      </c>
      <c r="C474" t="s">
        <v>24</v>
      </c>
      <c r="D474" t="s">
        <v>11</v>
      </c>
      <c r="E474">
        <v>2</v>
      </c>
      <c r="F474" s="2">
        <v>47100</v>
      </c>
      <c r="G474" s="2">
        <v>25600</v>
      </c>
      <c r="H474" t="s">
        <v>12</v>
      </c>
      <c r="I474" t="s">
        <v>13</v>
      </c>
      <c r="J474" s="2">
        <f>Ventas[[#This Row],[Cantidad]]*Ventas[[#This Row],[Precio_Unitario]]</f>
        <v>94200</v>
      </c>
      <c r="K474" s="2">
        <f>Ventas[[#This Row],[Cantidad]]*Ventas[[#This Row],[Costo_Unitario]]</f>
        <v>51200</v>
      </c>
      <c r="L474" s="2">
        <f>Ventas[[#This Row],[Ventas_Totales]]-Ventas[[#This Row],[Costo_Total]]</f>
        <v>43000</v>
      </c>
    </row>
    <row r="475" spans="1:12">
      <c r="A475" t="s">
        <v>505</v>
      </c>
      <c r="B475" s="1">
        <v>46007</v>
      </c>
      <c r="C475" t="s">
        <v>37</v>
      </c>
      <c r="D475" t="s">
        <v>34</v>
      </c>
      <c r="E475">
        <v>4</v>
      </c>
      <c r="F475" s="2">
        <v>252600</v>
      </c>
      <c r="G475" s="2">
        <v>171500</v>
      </c>
      <c r="H475" t="s">
        <v>22</v>
      </c>
      <c r="I475" t="s">
        <v>64</v>
      </c>
      <c r="J475" s="2">
        <f>Ventas[[#This Row],[Cantidad]]*Ventas[[#This Row],[Precio_Unitario]]</f>
        <v>1010400</v>
      </c>
      <c r="K475" s="2">
        <f>Ventas[[#This Row],[Cantidad]]*Ventas[[#This Row],[Costo_Unitario]]</f>
        <v>686000</v>
      </c>
      <c r="L475" s="2">
        <f>Ventas[[#This Row],[Ventas_Totales]]-Ventas[[#This Row],[Costo_Total]]</f>
        <v>324400</v>
      </c>
    </row>
    <row r="476" spans="1:12">
      <c r="A476" t="s">
        <v>506</v>
      </c>
      <c r="B476" s="1">
        <v>46007</v>
      </c>
      <c r="C476" t="s">
        <v>24</v>
      </c>
      <c r="D476" t="s">
        <v>11</v>
      </c>
      <c r="E476">
        <v>3</v>
      </c>
      <c r="F476" s="2">
        <v>45900</v>
      </c>
      <c r="G476" s="2">
        <v>26300</v>
      </c>
      <c r="H476" t="s">
        <v>22</v>
      </c>
      <c r="I476" t="s">
        <v>26</v>
      </c>
      <c r="J476" s="2">
        <f>Ventas[[#This Row],[Cantidad]]*Ventas[[#This Row],[Precio_Unitario]]</f>
        <v>137700</v>
      </c>
      <c r="K476" s="2">
        <f>Ventas[[#This Row],[Cantidad]]*Ventas[[#This Row],[Costo_Unitario]]</f>
        <v>78900</v>
      </c>
      <c r="L476" s="2">
        <f>Ventas[[#This Row],[Ventas_Totales]]-Ventas[[#This Row],[Costo_Total]]</f>
        <v>58800</v>
      </c>
    </row>
    <row r="477" spans="1:12">
      <c r="A477" t="s">
        <v>507</v>
      </c>
      <c r="B477" s="1">
        <v>46008</v>
      </c>
      <c r="C477" t="s">
        <v>55</v>
      </c>
      <c r="D477" t="s">
        <v>16</v>
      </c>
      <c r="E477">
        <v>1</v>
      </c>
      <c r="F477" s="2">
        <v>222100</v>
      </c>
      <c r="G477" s="2">
        <v>144400</v>
      </c>
      <c r="H477" t="s">
        <v>19</v>
      </c>
      <c r="I477" t="s">
        <v>64</v>
      </c>
      <c r="J477" s="2">
        <f>Ventas[[#This Row],[Cantidad]]*Ventas[[#This Row],[Precio_Unitario]]</f>
        <v>222100</v>
      </c>
      <c r="K477" s="2">
        <f>Ventas[[#This Row],[Cantidad]]*Ventas[[#This Row],[Costo_Unitario]]</f>
        <v>144400</v>
      </c>
      <c r="L477" s="2">
        <f>Ventas[[#This Row],[Ventas_Totales]]-Ventas[[#This Row],[Costo_Total]]</f>
        <v>77700</v>
      </c>
    </row>
    <row r="478" spans="1:12">
      <c r="A478" t="s">
        <v>508</v>
      </c>
      <c r="B478" s="1">
        <v>46008</v>
      </c>
      <c r="C478" t="s">
        <v>10</v>
      </c>
      <c r="D478" t="s">
        <v>11</v>
      </c>
      <c r="E478">
        <v>5</v>
      </c>
      <c r="F478" s="2">
        <v>20500</v>
      </c>
      <c r="G478" s="2">
        <v>10100</v>
      </c>
      <c r="H478" t="s">
        <v>12</v>
      </c>
      <c r="I478" t="s">
        <v>13</v>
      </c>
      <c r="J478" s="2">
        <f>Ventas[[#This Row],[Cantidad]]*Ventas[[#This Row],[Precio_Unitario]]</f>
        <v>102500</v>
      </c>
      <c r="K478" s="2">
        <f>Ventas[[#This Row],[Cantidad]]*Ventas[[#This Row],[Costo_Unitario]]</f>
        <v>50500</v>
      </c>
      <c r="L478" s="2">
        <f>Ventas[[#This Row],[Ventas_Totales]]-Ventas[[#This Row],[Costo_Total]]</f>
        <v>52000</v>
      </c>
    </row>
    <row r="479" spans="1:12">
      <c r="A479" t="s">
        <v>509</v>
      </c>
      <c r="B479" s="1">
        <v>46008</v>
      </c>
      <c r="C479" t="s">
        <v>66</v>
      </c>
      <c r="D479" t="s">
        <v>34</v>
      </c>
      <c r="E479">
        <v>7</v>
      </c>
      <c r="F479" s="2">
        <v>30100</v>
      </c>
      <c r="G479" s="2">
        <v>13800</v>
      </c>
      <c r="H479" t="s">
        <v>22</v>
      </c>
      <c r="I479" t="s">
        <v>64</v>
      </c>
      <c r="J479" s="2">
        <f>Ventas[[#This Row],[Cantidad]]*Ventas[[#This Row],[Precio_Unitario]]</f>
        <v>210700</v>
      </c>
      <c r="K479" s="2">
        <f>Ventas[[#This Row],[Cantidad]]*Ventas[[#This Row],[Costo_Unitario]]</f>
        <v>96600</v>
      </c>
      <c r="L479" s="2">
        <f>Ventas[[#This Row],[Ventas_Totales]]-Ventas[[#This Row],[Costo_Total]]</f>
        <v>114100</v>
      </c>
    </row>
    <row r="480" spans="1:12">
      <c r="A480" t="s">
        <v>510</v>
      </c>
      <c r="B480" s="1">
        <v>46009</v>
      </c>
      <c r="C480" t="s">
        <v>24</v>
      </c>
      <c r="D480" t="s">
        <v>11</v>
      </c>
      <c r="E480">
        <v>4</v>
      </c>
      <c r="F480" s="2">
        <v>52400</v>
      </c>
      <c r="G480" s="2">
        <v>26500</v>
      </c>
      <c r="H480" t="s">
        <v>17</v>
      </c>
      <c r="I480" t="s">
        <v>72</v>
      </c>
      <c r="J480" s="2">
        <f>Ventas[[#This Row],[Cantidad]]*Ventas[[#This Row],[Precio_Unitario]]</f>
        <v>209600</v>
      </c>
      <c r="K480" s="2">
        <f>Ventas[[#This Row],[Cantidad]]*Ventas[[#This Row],[Costo_Unitario]]</f>
        <v>106000</v>
      </c>
      <c r="L480" s="2">
        <f>Ventas[[#This Row],[Ventas_Totales]]-Ventas[[#This Row],[Costo_Total]]</f>
        <v>103600</v>
      </c>
    </row>
    <row r="481" spans="1:12">
      <c r="A481" t="s">
        <v>511</v>
      </c>
      <c r="B481" s="1">
        <v>46009</v>
      </c>
      <c r="C481" t="s">
        <v>37</v>
      </c>
      <c r="D481" t="s">
        <v>34</v>
      </c>
      <c r="E481">
        <v>1</v>
      </c>
      <c r="F481" s="2">
        <v>257100</v>
      </c>
      <c r="G481" s="2">
        <v>178800</v>
      </c>
      <c r="H481" t="s">
        <v>12</v>
      </c>
      <c r="I481" t="s">
        <v>26</v>
      </c>
      <c r="J481" s="2">
        <f>Ventas[[#This Row],[Cantidad]]*Ventas[[#This Row],[Precio_Unitario]]</f>
        <v>257100</v>
      </c>
      <c r="K481" s="2">
        <f>Ventas[[#This Row],[Cantidad]]*Ventas[[#This Row],[Costo_Unitario]]</f>
        <v>178800</v>
      </c>
      <c r="L481" s="2">
        <f>Ventas[[#This Row],[Ventas_Totales]]-Ventas[[#This Row],[Costo_Total]]</f>
        <v>78300</v>
      </c>
    </row>
    <row r="482" spans="1:12">
      <c r="A482" t="s">
        <v>512</v>
      </c>
      <c r="B482" s="1">
        <v>46009</v>
      </c>
      <c r="C482" t="s">
        <v>55</v>
      </c>
      <c r="D482" t="s">
        <v>16</v>
      </c>
      <c r="E482">
        <v>2</v>
      </c>
      <c r="F482" s="2">
        <v>219300</v>
      </c>
      <c r="G482" s="2">
        <v>147900</v>
      </c>
      <c r="H482" t="s">
        <v>12</v>
      </c>
      <c r="I482" t="s">
        <v>13</v>
      </c>
      <c r="J482" s="2">
        <f>Ventas[[#This Row],[Cantidad]]*Ventas[[#This Row],[Precio_Unitario]]</f>
        <v>438600</v>
      </c>
      <c r="K482" s="2">
        <f>Ventas[[#This Row],[Cantidad]]*Ventas[[#This Row],[Costo_Unitario]]</f>
        <v>295800</v>
      </c>
      <c r="L482" s="2">
        <f>Ventas[[#This Row],[Ventas_Totales]]-Ventas[[#This Row],[Costo_Total]]</f>
        <v>142800</v>
      </c>
    </row>
    <row r="483" spans="1:12">
      <c r="A483" t="s">
        <v>513</v>
      </c>
      <c r="B483" s="1">
        <v>46009</v>
      </c>
      <c r="C483" t="s">
        <v>55</v>
      </c>
      <c r="D483" t="s">
        <v>16</v>
      </c>
      <c r="E483">
        <v>2</v>
      </c>
      <c r="F483" s="2">
        <v>229400</v>
      </c>
      <c r="G483" s="2">
        <v>155400</v>
      </c>
      <c r="H483" t="s">
        <v>19</v>
      </c>
      <c r="I483" t="s">
        <v>13</v>
      </c>
      <c r="J483" s="2">
        <f>Ventas[[#This Row],[Cantidad]]*Ventas[[#This Row],[Precio_Unitario]]</f>
        <v>458800</v>
      </c>
      <c r="K483" s="2">
        <f>Ventas[[#This Row],[Cantidad]]*Ventas[[#This Row],[Costo_Unitario]]</f>
        <v>310800</v>
      </c>
      <c r="L483" s="2">
        <f>Ventas[[#This Row],[Ventas_Totales]]-Ventas[[#This Row],[Costo_Total]]</f>
        <v>148000</v>
      </c>
    </row>
    <row r="484" spans="1:12">
      <c r="A484" t="s">
        <v>514</v>
      </c>
      <c r="B484" s="1">
        <v>46011</v>
      </c>
      <c r="C484" t="s">
        <v>39</v>
      </c>
      <c r="D484" t="s">
        <v>11</v>
      </c>
      <c r="E484">
        <v>6</v>
      </c>
      <c r="F484" s="2">
        <v>36400</v>
      </c>
      <c r="G484" s="2">
        <v>17500</v>
      </c>
      <c r="H484" t="s">
        <v>22</v>
      </c>
      <c r="I484" t="s">
        <v>30</v>
      </c>
      <c r="J484" s="2">
        <f>Ventas[[#This Row],[Cantidad]]*Ventas[[#This Row],[Precio_Unitario]]</f>
        <v>218400</v>
      </c>
      <c r="K484" s="2">
        <f>Ventas[[#This Row],[Cantidad]]*Ventas[[#This Row],[Costo_Unitario]]</f>
        <v>105000</v>
      </c>
      <c r="L484" s="2">
        <f>Ventas[[#This Row],[Ventas_Totales]]-Ventas[[#This Row],[Costo_Total]]</f>
        <v>113400</v>
      </c>
    </row>
    <row r="485" spans="1:12">
      <c r="A485" t="s">
        <v>515</v>
      </c>
      <c r="B485" s="1">
        <v>46012</v>
      </c>
      <c r="C485" t="s">
        <v>10</v>
      </c>
      <c r="D485" t="s">
        <v>11</v>
      </c>
      <c r="E485">
        <v>5</v>
      </c>
      <c r="F485" s="2">
        <v>22200</v>
      </c>
      <c r="G485" s="2">
        <v>10300</v>
      </c>
      <c r="H485" t="s">
        <v>19</v>
      </c>
      <c r="I485" t="s">
        <v>30</v>
      </c>
      <c r="J485" s="2">
        <f>Ventas[[#This Row],[Cantidad]]*Ventas[[#This Row],[Precio_Unitario]]</f>
        <v>111000</v>
      </c>
      <c r="K485" s="2">
        <f>Ventas[[#This Row],[Cantidad]]*Ventas[[#This Row],[Costo_Unitario]]</f>
        <v>51500</v>
      </c>
      <c r="L485" s="2">
        <f>Ventas[[#This Row],[Ventas_Totales]]-Ventas[[#This Row],[Costo_Total]]</f>
        <v>59500</v>
      </c>
    </row>
    <row r="486" spans="1:12">
      <c r="A486" t="s">
        <v>516</v>
      </c>
      <c r="B486" s="1">
        <v>46014</v>
      </c>
      <c r="C486" t="s">
        <v>55</v>
      </c>
      <c r="D486" t="s">
        <v>16</v>
      </c>
      <c r="E486">
        <v>4</v>
      </c>
      <c r="F486" s="2">
        <v>203700</v>
      </c>
      <c r="G486" s="2">
        <v>148700</v>
      </c>
      <c r="H486" t="s">
        <v>12</v>
      </c>
      <c r="I486" t="s">
        <v>30</v>
      </c>
      <c r="J486" s="2">
        <f>Ventas[[#This Row],[Cantidad]]*Ventas[[#This Row],[Precio_Unitario]]</f>
        <v>814800</v>
      </c>
      <c r="K486" s="2">
        <f>Ventas[[#This Row],[Cantidad]]*Ventas[[#This Row],[Costo_Unitario]]</f>
        <v>594800</v>
      </c>
      <c r="L486" s="2">
        <f>Ventas[[#This Row],[Ventas_Totales]]-Ventas[[#This Row],[Costo_Total]]</f>
        <v>220000</v>
      </c>
    </row>
    <row r="487" spans="1:12">
      <c r="A487" t="s">
        <v>517</v>
      </c>
      <c r="B487" s="1">
        <v>46014</v>
      </c>
      <c r="C487" t="s">
        <v>39</v>
      </c>
      <c r="D487" t="s">
        <v>11</v>
      </c>
      <c r="E487">
        <v>6</v>
      </c>
      <c r="F487" s="2">
        <v>36100</v>
      </c>
      <c r="G487" s="2">
        <v>17800</v>
      </c>
      <c r="H487" t="s">
        <v>17</v>
      </c>
      <c r="I487" t="s">
        <v>72</v>
      </c>
      <c r="J487" s="2">
        <f>Ventas[[#This Row],[Cantidad]]*Ventas[[#This Row],[Precio_Unitario]]</f>
        <v>216600</v>
      </c>
      <c r="K487" s="2">
        <f>Ventas[[#This Row],[Cantidad]]*Ventas[[#This Row],[Costo_Unitario]]</f>
        <v>106800</v>
      </c>
      <c r="L487" s="2">
        <f>Ventas[[#This Row],[Ventas_Totales]]-Ventas[[#This Row],[Costo_Total]]</f>
        <v>109800</v>
      </c>
    </row>
    <row r="488" spans="1:12">
      <c r="A488" t="s">
        <v>518</v>
      </c>
      <c r="B488" s="1">
        <v>46015</v>
      </c>
      <c r="C488" t="s">
        <v>24</v>
      </c>
      <c r="D488" t="s">
        <v>11</v>
      </c>
      <c r="E488">
        <v>3</v>
      </c>
      <c r="F488" s="2">
        <v>49700</v>
      </c>
      <c r="G488" s="2">
        <v>25900</v>
      </c>
      <c r="H488" t="s">
        <v>12</v>
      </c>
      <c r="I488" t="s">
        <v>30</v>
      </c>
      <c r="J488" s="2">
        <f>Ventas[[#This Row],[Cantidad]]*Ventas[[#This Row],[Precio_Unitario]]</f>
        <v>149100</v>
      </c>
      <c r="K488" s="2">
        <f>Ventas[[#This Row],[Cantidad]]*Ventas[[#This Row],[Costo_Unitario]]</f>
        <v>77700</v>
      </c>
      <c r="L488" s="2">
        <f>Ventas[[#This Row],[Ventas_Totales]]-Ventas[[#This Row],[Costo_Total]]</f>
        <v>71400</v>
      </c>
    </row>
    <row r="489" spans="1:12">
      <c r="A489" t="s">
        <v>519</v>
      </c>
      <c r="B489" s="1">
        <v>46016</v>
      </c>
      <c r="C489" t="s">
        <v>33</v>
      </c>
      <c r="D489" t="s">
        <v>34</v>
      </c>
      <c r="E489">
        <v>2</v>
      </c>
      <c r="F489" s="2">
        <v>191700</v>
      </c>
      <c r="G489" s="2">
        <v>113200</v>
      </c>
      <c r="H489" t="s">
        <v>19</v>
      </c>
      <c r="I489" t="s">
        <v>30</v>
      </c>
      <c r="J489" s="2">
        <f>Ventas[[#This Row],[Cantidad]]*Ventas[[#This Row],[Precio_Unitario]]</f>
        <v>383400</v>
      </c>
      <c r="K489" s="2">
        <f>Ventas[[#This Row],[Cantidad]]*Ventas[[#This Row],[Costo_Unitario]]</f>
        <v>226400</v>
      </c>
      <c r="L489" s="2">
        <f>Ventas[[#This Row],[Ventas_Totales]]-Ventas[[#This Row],[Costo_Total]]</f>
        <v>157000</v>
      </c>
    </row>
    <row r="490" spans="1:12">
      <c r="A490" t="s">
        <v>520</v>
      </c>
      <c r="B490" s="1">
        <v>46017</v>
      </c>
      <c r="C490" t="s">
        <v>55</v>
      </c>
      <c r="D490" t="s">
        <v>16</v>
      </c>
      <c r="E490">
        <v>7</v>
      </c>
      <c r="F490" s="2">
        <v>203100</v>
      </c>
      <c r="G490" s="2">
        <v>155500</v>
      </c>
      <c r="H490" t="s">
        <v>22</v>
      </c>
      <c r="I490" t="s">
        <v>30</v>
      </c>
      <c r="J490" s="2">
        <f>Ventas[[#This Row],[Cantidad]]*Ventas[[#This Row],[Precio_Unitario]]</f>
        <v>1421700</v>
      </c>
      <c r="K490" s="2">
        <f>Ventas[[#This Row],[Cantidad]]*Ventas[[#This Row],[Costo_Unitario]]</f>
        <v>1088500</v>
      </c>
      <c r="L490" s="2">
        <f>Ventas[[#This Row],[Ventas_Totales]]-Ventas[[#This Row],[Costo_Total]]</f>
        <v>333200</v>
      </c>
    </row>
    <row r="491" spans="1:12">
      <c r="A491" t="s">
        <v>521</v>
      </c>
      <c r="B491" s="1">
        <v>46017</v>
      </c>
      <c r="C491" t="s">
        <v>55</v>
      </c>
      <c r="D491" t="s">
        <v>16</v>
      </c>
      <c r="E491">
        <v>4</v>
      </c>
      <c r="F491" s="2">
        <v>218100</v>
      </c>
      <c r="G491" s="2">
        <v>148700</v>
      </c>
      <c r="H491" t="s">
        <v>19</v>
      </c>
      <c r="I491" t="s">
        <v>13</v>
      </c>
      <c r="J491" s="2">
        <f>Ventas[[#This Row],[Cantidad]]*Ventas[[#This Row],[Precio_Unitario]]</f>
        <v>872400</v>
      </c>
      <c r="K491" s="2">
        <f>Ventas[[#This Row],[Cantidad]]*Ventas[[#This Row],[Costo_Unitario]]</f>
        <v>594800</v>
      </c>
      <c r="L491" s="2">
        <f>Ventas[[#This Row],[Ventas_Totales]]-Ventas[[#This Row],[Costo_Total]]</f>
        <v>277600</v>
      </c>
    </row>
    <row r="492" spans="1:12">
      <c r="A492" t="s">
        <v>522</v>
      </c>
      <c r="B492" s="1">
        <v>46017</v>
      </c>
      <c r="C492" t="s">
        <v>66</v>
      </c>
      <c r="D492" t="s">
        <v>34</v>
      </c>
      <c r="E492">
        <v>5</v>
      </c>
      <c r="F492" s="2">
        <v>29800</v>
      </c>
      <c r="G492" s="2">
        <v>14100</v>
      </c>
      <c r="H492" t="s">
        <v>12</v>
      </c>
      <c r="I492" t="s">
        <v>64</v>
      </c>
      <c r="J492" s="2">
        <f>Ventas[[#This Row],[Cantidad]]*Ventas[[#This Row],[Precio_Unitario]]</f>
        <v>149000</v>
      </c>
      <c r="K492" s="2">
        <f>Ventas[[#This Row],[Cantidad]]*Ventas[[#This Row],[Costo_Unitario]]</f>
        <v>70500</v>
      </c>
      <c r="L492" s="2">
        <f>Ventas[[#This Row],[Ventas_Totales]]-Ventas[[#This Row],[Costo_Total]]</f>
        <v>78500</v>
      </c>
    </row>
    <row r="493" spans="1:12">
      <c r="A493" t="s">
        <v>523</v>
      </c>
      <c r="B493" s="1">
        <v>46017</v>
      </c>
      <c r="C493" t="s">
        <v>47</v>
      </c>
      <c r="D493" t="s">
        <v>16</v>
      </c>
      <c r="E493">
        <v>4</v>
      </c>
      <c r="F493" s="2">
        <v>619800</v>
      </c>
      <c r="G493" s="2">
        <v>463400</v>
      </c>
      <c r="H493" t="s">
        <v>19</v>
      </c>
      <c r="I493" t="s">
        <v>26</v>
      </c>
      <c r="J493" s="2">
        <f>Ventas[[#This Row],[Cantidad]]*Ventas[[#This Row],[Precio_Unitario]]</f>
        <v>2479200</v>
      </c>
      <c r="K493" s="2">
        <f>Ventas[[#This Row],[Cantidad]]*Ventas[[#This Row],[Costo_Unitario]]</f>
        <v>1853600</v>
      </c>
      <c r="L493" s="2">
        <f>Ventas[[#This Row],[Ventas_Totales]]-Ventas[[#This Row],[Costo_Total]]</f>
        <v>625600</v>
      </c>
    </row>
    <row r="494" spans="1:12">
      <c r="A494" t="s">
        <v>524</v>
      </c>
      <c r="B494" s="1">
        <v>46017</v>
      </c>
      <c r="C494" t="s">
        <v>33</v>
      </c>
      <c r="D494" t="s">
        <v>34</v>
      </c>
      <c r="E494">
        <v>7</v>
      </c>
      <c r="F494" s="2">
        <v>183000</v>
      </c>
      <c r="G494" s="2">
        <v>113100</v>
      </c>
      <c r="H494" t="s">
        <v>19</v>
      </c>
      <c r="I494" t="s">
        <v>72</v>
      </c>
      <c r="J494" s="2">
        <f>Ventas[[#This Row],[Cantidad]]*Ventas[[#This Row],[Precio_Unitario]]</f>
        <v>1281000</v>
      </c>
      <c r="K494" s="2">
        <f>Ventas[[#This Row],[Cantidad]]*Ventas[[#This Row],[Costo_Unitario]]</f>
        <v>791700</v>
      </c>
      <c r="L494" s="2">
        <f>Ventas[[#This Row],[Ventas_Totales]]-Ventas[[#This Row],[Costo_Total]]</f>
        <v>489300</v>
      </c>
    </row>
    <row r="495" spans="1:12">
      <c r="A495" t="s">
        <v>525</v>
      </c>
      <c r="B495" s="1">
        <v>46019</v>
      </c>
      <c r="C495" t="s">
        <v>10</v>
      </c>
      <c r="D495" t="s">
        <v>11</v>
      </c>
      <c r="E495">
        <v>4</v>
      </c>
      <c r="F495" s="2">
        <v>22400</v>
      </c>
      <c r="G495" s="2">
        <v>9700</v>
      </c>
      <c r="H495" t="s">
        <v>25</v>
      </c>
      <c r="I495" t="s">
        <v>30</v>
      </c>
      <c r="J495" s="2">
        <f>Ventas[[#This Row],[Cantidad]]*Ventas[[#This Row],[Precio_Unitario]]</f>
        <v>89600</v>
      </c>
      <c r="K495" s="2">
        <f>Ventas[[#This Row],[Cantidad]]*Ventas[[#This Row],[Costo_Unitario]]</f>
        <v>38800</v>
      </c>
      <c r="L495" s="2">
        <f>Ventas[[#This Row],[Ventas_Totales]]-Ventas[[#This Row],[Costo_Total]]</f>
        <v>50800</v>
      </c>
    </row>
    <row r="496" spans="1:12">
      <c r="A496" t="s">
        <v>526</v>
      </c>
      <c r="B496" s="1">
        <v>46021</v>
      </c>
      <c r="C496" t="s">
        <v>37</v>
      </c>
      <c r="D496" t="s">
        <v>34</v>
      </c>
      <c r="E496">
        <v>4</v>
      </c>
      <c r="F496" s="2">
        <v>281000</v>
      </c>
      <c r="G496" s="2">
        <v>177100</v>
      </c>
      <c r="H496" t="s">
        <v>22</v>
      </c>
      <c r="I496" t="s">
        <v>30</v>
      </c>
      <c r="J496" s="2">
        <f>Ventas[[#This Row],[Cantidad]]*Ventas[[#This Row],[Precio_Unitario]]</f>
        <v>1124000</v>
      </c>
      <c r="K496" s="2">
        <f>Ventas[[#This Row],[Cantidad]]*Ventas[[#This Row],[Costo_Unitario]]</f>
        <v>708400</v>
      </c>
      <c r="L496" s="2">
        <f>Ventas[[#This Row],[Ventas_Totales]]-Ventas[[#This Row],[Costo_Total]]</f>
        <v>415600</v>
      </c>
    </row>
    <row r="497" spans="1:12">
      <c r="A497" t="s">
        <v>527</v>
      </c>
      <c r="B497" s="1">
        <v>46021</v>
      </c>
      <c r="C497" t="s">
        <v>24</v>
      </c>
      <c r="D497" t="s">
        <v>11</v>
      </c>
      <c r="E497">
        <v>7</v>
      </c>
      <c r="F497" s="2">
        <v>52700</v>
      </c>
      <c r="G497" s="2">
        <v>27000</v>
      </c>
      <c r="H497" t="s">
        <v>22</v>
      </c>
      <c r="I497" t="s">
        <v>30</v>
      </c>
      <c r="J497" s="2">
        <f>Ventas[[#This Row],[Cantidad]]*Ventas[[#This Row],[Precio_Unitario]]</f>
        <v>368900</v>
      </c>
      <c r="K497" s="2">
        <f>Ventas[[#This Row],[Cantidad]]*Ventas[[#This Row],[Costo_Unitario]]</f>
        <v>189000</v>
      </c>
      <c r="L497" s="2">
        <f>Ventas[[#This Row],[Ventas_Totales]]-Ventas[[#This Row],[Costo_Total]]</f>
        <v>179900</v>
      </c>
    </row>
    <row r="498" spans="1:12">
      <c r="A498" t="s">
        <v>528</v>
      </c>
      <c r="B498" s="1">
        <v>46021</v>
      </c>
      <c r="C498" t="s">
        <v>15</v>
      </c>
      <c r="D498" t="s">
        <v>16</v>
      </c>
      <c r="E498">
        <v>6</v>
      </c>
      <c r="F498" s="2">
        <v>306300</v>
      </c>
      <c r="G498" s="2">
        <v>231300</v>
      </c>
      <c r="H498" t="s">
        <v>19</v>
      </c>
      <c r="I498" t="s">
        <v>13</v>
      </c>
      <c r="J498" s="2">
        <f>Ventas[[#This Row],[Cantidad]]*Ventas[[#This Row],[Precio_Unitario]]</f>
        <v>1837800</v>
      </c>
      <c r="K498" s="2">
        <f>Ventas[[#This Row],[Cantidad]]*Ventas[[#This Row],[Costo_Unitario]]</f>
        <v>1387800</v>
      </c>
      <c r="L498" s="2">
        <f>Ventas[[#This Row],[Ventas_Totales]]-Ventas[[#This Row],[Costo_Total]]</f>
        <v>450000</v>
      </c>
    </row>
    <row r="499" spans="1:12">
      <c r="A499" t="s">
        <v>529</v>
      </c>
      <c r="B499" s="1">
        <v>46022</v>
      </c>
      <c r="C499" t="s">
        <v>24</v>
      </c>
      <c r="D499" t="s">
        <v>11</v>
      </c>
      <c r="E499">
        <v>5</v>
      </c>
      <c r="F499" s="2">
        <v>50700</v>
      </c>
      <c r="G499" s="2">
        <v>27000</v>
      </c>
      <c r="H499" t="s">
        <v>25</v>
      </c>
      <c r="I499" t="s">
        <v>72</v>
      </c>
      <c r="J499" s="2">
        <f>Ventas[[#This Row],[Cantidad]]*Ventas[[#This Row],[Precio_Unitario]]</f>
        <v>253500</v>
      </c>
      <c r="K499" s="2">
        <f>Ventas[[#This Row],[Cantidad]]*Ventas[[#This Row],[Costo_Unitario]]</f>
        <v>135000</v>
      </c>
      <c r="L499" s="2">
        <f>Ventas[[#This Row],[Ventas_Totales]]-Ventas[[#This Row],[Costo_Total]]</f>
        <v>118500</v>
      </c>
    </row>
    <row r="500" spans="1:12">
      <c r="A500" t="s">
        <v>530</v>
      </c>
      <c r="B500" s="1">
        <v>46022</v>
      </c>
      <c r="C500" t="s">
        <v>55</v>
      </c>
      <c r="D500" t="s">
        <v>16</v>
      </c>
      <c r="E500">
        <v>1</v>
      </c>
      <c r="F500" s="2">
        <v>239300</v>
      </c>
      <c r="G500" s="2">
        <v>145500</v>
      </c>
      <c r="H500" t="s">
        <v>17</v>
      </c>
      <c r="I500" t="s">
        <v>26</v>
      </c>
      <c r="J500" s="2">
        <f>Ventas[[#This Row],[Cantidad]]*Ventas[[#This Row],[Precio_Unitario]]</f>
        <v>239300</v>
      </c>
      <c r="K500" s="2">
        <f>Ventas[[#This Row],[Cantidad]]*Ventas[[#This Row],[Costo_Unitario]]</f>
        <v>145500</v>
      </c>
      <c r="L500" s="2">
        <f>Ventas[[#This Row],[Ventas_Totales]]-Ventas[[#This Row],[Costo_Total]]</f>
        <v>93800</v>
      </c>
    </row>
    <row r="501" spans="1:12">
      <c r="A501" t="s">
        <v>531</v>
      </c>
      <c r="B501" s="1">
        <v>46022</v>
      </c>
      <c r="C501" t="s">
        <v>24</v>
      </c>
      <c r="D501" t="s">
        <v>11</v>
      </c>
      <c r="E501">
        <v>4</v>
      </c>
      <c r="F501" s="2">
        <v>46400</v>
      </c>
      <c r="G501" s="2">
        <v>25700</v>
      </c>
      <c r="H501" t="s">
        <v>19</v>
      </c>
      <c r="I501" t="s">
        <v>26</v>
      </c>
      <c r="J501" s="2">
        <f>Ventas[[#This Row],[Cantidad]]*Ventas[[#This Row],[Precio_Unitario]]</f>
        <v>185600</v>
      </c>
      <c r="K501" s="2">
        <f>Ventas[[#This Row],[Cantidad]]*Ventas[[#This Row],[Costo_Unitario]]</f>
        <v>102800</v>
      </c>
      <c r="L501" s="2">
        <f>Ventas[[#This Row],[Ventas_Totales]]-Ventas[[#This Row],[Costo_Total]]</f>
        <v>82800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7A0E-BDC6-4013-9B98-80CB1355614D}">
  <dimension ref="A3:O17"/>
  <sheetViews>
    <sheetView workbookViewId="0">
      <selection activeCell="H23" sqref="H23"/>
    </sheetView>
  </sheetViews>
  <sheetFormatPr baseColWidth="10" defaultRowHeight="15"/>
  <cols>
    <col min="1" max="1" width="17.5703125" bestFit="1" customWidth="1"/>
    <col min="2" max="2" width="22.85546875" bestFit="1" customWidth="1"/>
  </cols>
  <sheetData>
    <row r="3" spans="1:15">
      <c r="A3" s="9" t="s">
        <v>540</v>
      </c>
      <c r="B3" t="s">
        <v>542</v>
      </c>
    </row>
    <row r="4" spans="1:15">
      <c r="A4" s="10" t="s">
        <v>556</v>
      </c>
      <c r="B4" s="12">
        <v>344438200</v>
      </c>
    </row>
    <row r="5" spans="1:15">
      <c r="A5" s="11" t="s">
        <v>544</v>
      </c>
      <c r="B5" s="12">
        <v>27585400</v>
      </c>
      <c r="O5" s="2"/>
    </row>
    <row r="6" spans="1:15">
      <c r="A6" s="11" t="s">
        <v>545</v>
      </c>
      <c r="B6" s="12">
        <v>18157100</v>
      </c>
    </row>
    <row r="7" spans="1:15">
      <c r="A7" s="11" t="s">
        <v>546</v>
      </c>
      <c r="B7" s="12">
        <v>22712500</v>
      </c>
    </row>
    <row r="8" spans="1:15">
      <c r="A8" s="11" t="s">
        <v>547</v>
      </c>
      <c r="B8" s="12">
        <v>24509500</v>
      </c>
    </row>
    <row r="9" spans="1:15">
      <c r="A9" s="11" t="s">
        <v>548</v>
      </c>
      <c r="B9" s="12">
        <v>32445800</v>
      </c>
    </row>
    <row r="10" spans="1:15">
      <c r="A10" s="11" t="s">
        <v>549</v>
      </c>
      <c r="B10" s="12">
        <v>25832400</v>
      </c>
    </row>
    <row r="11" spans="1:15">
      <c r="A11" s="11" t="s">
        <v>550</v>
      </c>
      <c r="B11" s="12">
        <v>41368500</v>
      </c>
    </row>
    <row r="12" spans="1:15">
      <c r="A12" s="11" t="s">
        <v>551</v>
      </c>
      <c r="B12" s="12">
        <v>25762800</v>
      </c>
    </row>
    <row r="13" spans="1:15">
      <c r="A13" s="11" t="s">
        <v>552</v>
      </c>
      <c r="B13" s="12">
        <v>23770900</v>
      </c>
    </row>
    <row r="14" spans="1:15">
      <c r="A14" s="11" t="s">
        <v>553</v>
      </c>
      <c r="B14" s="12">
        <v>36436700</v>
      </c>
    </row>
    <row r="15" spans="1:15">
      <c r="A15" s="11" t="s">
        <v>554</v>
      </c>
      <c r="B15" s="12">
        <v>41333400</v>
      </c>
    </row>
    <row r="16" spans="1:15">
      <c r="A16" s="11" t="s">
        <v>555</v>
      </c>
      <c r="B16" s="12">
        <v>24523200</v>
      </c>
    </row>
    <row r="17" spans="1:2">
      <c r="A17" s="10" t="s">
        <v>541</v>
      </c>
      <c r="B17" s="12">
        <v>344438200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46F0-5524-4B55-BC4B-35C1B393EF38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DD7-70F1-46B9-BBF5-51E549B9139B}">
  <dimension ref="A3:B14"/>
  <sheetViews>
    <sheetView workbookViewId="0">
      <selection activeCell="K5" sqref="K5"/>
    </sheetView>
  </sheetViews>
  <sheetFormatPr baseColWidth="10" defaultRowHeight="15"/>
  <cols>
    <col min="1" max="1" width="20.140625" bestFit="1" customWidth="1"/>
    <col min="2" max="2" width="22.85546875" bestFit="1" customWidth="1"/>
  </cols>
  <sheetData>
    <row r="3" spans="1:2">
      <c r="A3" s="9" t="s">
        <v>540</v>
      </c>
      <c r="B3" t="s">
        <v>542</v>
      </c>
    </row>
    <row r="4" spans="1:2">
      <c r="A4" s="10" t="s">
        <v>47</v>
      </c>
      <c r="B4" s="2">
        <v>154278500</v>
      </c>
    </row>
    <row r="5" spans="1:2">
      <c r="A5" s="10" t="s">
        <v>55</v>
      </c>
      <c r="B5" s="2">
        <v>56276700</v>
      </c>
    </row>
    <row r="6" spans="1:2">
      <c r="A6" s="10" t="s">
        <v>33</v>
      </c>
      <c r="B6" s="2">
        <v>33696700</v>
      </c>
    </row>
    <row r="7" spans="1:2">
      <c r="A7" s="10" t="s">
        <v>15</v>
      </c>
      <c r="B7" s="2">
        <v>31975300</v>
      </c>
    </row>
    <row r="8" spans="1:2">
      <c r="A8" s="10" t="s">
        <v>37</v>
      </c>
      <c r="B8" s="2">
        <v>31065400</v>
      </c>
    </row>
    <row r="9" spans="1:2">
      <c r="A9" s="10" t="s">
        <v>24</v>
      </c>
      <c r="B9" s="2">
        <v>11392500</v>
      </c>
    </row>
    <row r="10" spans="1:2">
      <c r="A10" s="10" t="s">
        <v>39</v>
      </c>
      <c r="B10" s="2">
        <v>10014100</v>
      </c>
    </row>
    <row r="11" spans="1:2">
      <c r="A11" s="10" t="s">
        <v>10</v>
      </c>
      <c r="B11" s="2">
        <v>7046000</v>
      </c>
    </row>
    <row r="12" spans="1:2">
      <c r="A12" s="10" t="s">
        <v>21</v>
      </c>
      <c r="B12" s="2">
        <v>7009800</v>
      </c>
    </row>
    <row r="13" spans="1:2">
      <c r="A13" s="10" t="s">
        <v>66</v>
      </c>
      <c r="B13" s="2">
        <v>1683200</v>
      </c>
    </row>
    <row r="14" spans="1:2">
      <c r="A14" s="10" t="s">
        <v>541</v>
      </c>
      <c r="B14" s="2">
        <v>344438200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3366-C515-4BBC-8C55-DFB037B2075E}">
  <dimension ref="A3:B14"/>
  <sheetViews>
    <sheetView workbookViewId="0">
      <selection activeCell="B9" sqref="B9"/>
    </sheetView>
  </sheetViews>
  <sheetFormatPr baseColWidth="10" defaultRowHeight="15"/>
  <cols>
    <col min="1" max="1" width="20.140625" bestFit="1" customWidth="1"/>
    <col min="2" max="2" width="22" bestFit="1" customWidth="1"/>
  </cols>
  <sheetData>
    <row r="3" spans="1:2">
      <c r="A3" s="9" t="s">
        <v>540</v>
      </c>
      <c r="B3" t="s">
        <v>543</v>
      </c>
    </row>
    <row r="4" spans="1:2">
      <c r="A4" s="10" t="s">
        <v>47</v>
      </c>
      <c r="B4" s="2">
        <v>42242900</v>
      </c>
    </row>
    <row r="5" spans="1:2">
      <c r="A5" s="10" t="s">
        <v>55</v>
      </c>
      <c r="B5" s="2">
        <v>17931000</v>
      </c>
    </row>
    <row r="6" spans="1:2">
      <c r="A6" s="10" t="s">
        <v>33</v>
      </c>
      <c r="B6" s="2">
        <v>12337800</v>
      </c>
    </row>
    <row r="7" spans="1:2">
      <c r="A7" s="10" t="s">
        <v>37</v>
      </c>
      <c r="B7" s="2">
        <v>10605700</v>
      </c>
    </row>
    <row r="8" spans="1:2">
      <c r="A8" s="10" t="s">
        <v>15</v>
      </c>
      <c r="B8" s="2">
        <v>8718300</v>
      </c>
    </row>
    <row r="9" spans="1:2">
      <c r="A9" s="10" t="s">
        <v>24</v>
      </c>
      <c r="B9" s="2">
        <v>5358100</v>
      </c>
    </row>
    <row r="10" spans="1:2">
      <c r="A10" s="10" t="s">
        <v>39</v>
      </c>
      <c r="B10" s="2">
        <v>4955200</v>
      </c>
    </row>
    <row r="11" spans="1:2">
      <c r="A11" s="10" t="s">
        <v>10</v>
      </c>
      <c r="B11" s="2">
        <v>3829700</v>
      </c>
    </row>
    <row r="12" spans="1:2">
      <c r="A12" s="10" t="s">
        <v>21</v>
      </c>
      <c r="B12" s="2">
        <v>3258300</v>
      </c>
    </row>
    <row r="13" spans="1:2">
      <c r="A13" s="10" t="s">
        <v>66</v>
      </c>
      <c r="B13" s="2">
        <v>842900</v>
      </c>
    </row>
    <row r="14" spans="1:2">
      <c r="A14" s="10" t="s">
        <v>541</v>
      </c>
      <c r="B14" s="2">
        <v>110079900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D0B4-B29E-400F-A1AE-B9E9E2823BE8}">
  <dimension ref="A1:B6"/>
  <sheetViews>
    <sheetView workbookViewId="0"/>
  </sheetViews>
  <sheetFormatPr baseColWidth="10" defaultRowHeight="15"/>
  <cols>
    <col min="1" max="1" width="24" customWidth="1"/>
    <col min="2" max="2" width="15.28515625" bestFit="1" customWidth="1"/>
  </cols>
  <sheetData>
    <row r="1" spans="1:2">
      <c r="A1" s="8" t="s">
        <v>535</v>
      </c>
    </row>
    <row r="3" spans="1:2">
      <c r="A3" t="s">
        <v>536</v>
      </c>
      <c r="B3" s="2">
        <f>SUM(Ventas[Ventas_Totales])</f>
        <v>344438200</v>
      </c>
    </row>
    <row r="4" spans="1:2">
      <c r="A4" t="s">
        <v>537</v>
      </c>
      <c r="B4" s="2">
        <f>SUM(Ventas[Costo_Total])</f>
        <v>234358300</v>
      </c>
    </row>
    <row r="5" spans="1:2">
      <c r="A5" t="s">
        <v>538</v>
      </c>
      <c r="B5" s="6">
        <f>SUM(Ventas[Margen_Bruto])</f>
        <v>110079900</v>
      </c>
    </row>
    <row r="6" spans="1:2">
      <c r="A6" t="s">
        <v>539</v>
      </c>
      <c r="B6" s="7">
        <f>IFERROR(B5/B3,0)</f>
        <v>0.31959260035617421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45A0-F639-47B0-BE97-EF383278B7BD}">
  <dimension ref="B2:H46"/>
  <sheetViews>
    <sheetView showGridLines="0" tabSelected="1" zoomScale="80" zoomScaleNormal="80" workbookViewId="0">
      <selection activeCell="Y34" sqref="Y34"/>
    </sheetView>
  </sheetViews>
  <sheetFormatPr baseColWidth="10" defaultRowHeight="15"/>
  <cols>
    <col min="2" max="2" width="35" bestFit="1" customWidth="1"/>
    <col min="4" max="4" width="21.42578125" customWidth="1"/>
    <col min="6" max="6" width="21.42578125" customWidth="1"/>
    <col min="8" max="8" width="21.42578125" customWidth="1"/>
  </cols>
  <sheetData>
    <row r="2" spans="2:8" ht="23.25">
      <c r="B2" s="19" t="s">
        <v>557</v>
      </c>
      <c r="C2" s="19"/>
      <c r="D2" s="19"/>
      <c r="E2" s="19"/>
      <c r="F2" s="19"/>
      <c r="G2" s="19"/>
      <c r="H2" s="19"/>
    </row>
    <row r="3" spans="2:8">
      <c r="B3" s="20" t="s">
        <v>558</v>
      </c>
      <c r="C3" s="20"/>
      <c r="D3" s="20"/>
      <c r="E3" s="20"/>
      <c r="F3" s="20"/>
      <c r="G3" s="20"/>
      <c r="H3" s="20"/>
    </row>
    <row r="5" spans="2:8">
      <c r="B5" s="8" t="s">
        <v>559</v>
      </c>
      <c r="D5" s="8" t="s">
        <v>560</v>
      </c>
      <c r="F5" s="8" t="s">
        <v>561</v>
      </c>
      <c r="H5" s="8" t="s">
        <v>562</v>
      </c>
    </row>
    <row r="6" spans="2:8" ht="21">
      <c r="B6" s="15">
        <f>Indicadores!B3</f>
        <v>344438200</v>
      </c>
      <c r="D6" s="14">
        <f>Indicadores!B4</f>
        <v>234358300</v>
      </c>
      <c r="F6" s="16">
        <f>Indicadores!B5</f>
        <v>110079900</v>
      </c>
      <c r="H6" s="17">
        <f>Indicadores!B6</f>
        <v>0.31959260035617421</v>
      </c>
    </row>
    <row r="10" spans="2:8">
      <c r="E10" s="13"/>
    </row>
    <row r="42" spans="2:4" ht="18.75">
      <c r="B42" s="18" t="s">
        <v>563</v>
      </c>
    </row>
    <row r="44" spans="2:4">
      <c r="B44" s="21" t="s">
        <v>564</v>
      </c>
      <c r="C44" s="21"/>
      <c r="D44" s="21"/>
    </row>
    <row r="45" spans="2:4">
      <c r="B45" s="21" t="s">
        <v>565</v>
      </c>
      <c r="C45" s="21"/>
    </row>
    <row r="46" spans="2:4">
      <c r="B46" s="22" t="s">
        <v>566</v>
      </c>
      <c r="C46" s="22"/>
    </row>
  </sheetData>
  <mergeCells count="4">
    <mergeCell ref="B2:H2"/>
    <mergeCell ref="B3:H3"/>
    <mergeCell ref="B44:D44"/>
    <mergeCell ref="B45:C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</vt:lpstr>
      <vt:lpstr>Ventas-Mes</vt:lpstr>
      <vt:lpstr>Hoja1</vt:lpstr>
      <vt:lpstr>Ventas-Totales</vt:lpstr>
      <vt:lpstr>Margen-Bruto</vt:lpstr>
      <vt:lpstr>Indicadores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Aguirre</cp:lastModifiedBy>
  <dcterms:created xsi:type="dcterms:W3CDTF">2026-10-27T23:54:54Z</dcterms:created>
  <dcterms:modified xsi:type="dcterms:W3CDTF">2026-10-28T20:55:57Z</dcterms:modified>
</cp:coreProperties>
</file>